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001.sharepoint.com/sites/global-10/Shared Documents/グローバルエンジニア研修講義資料/待機GE演習課題/スクリプト(台本)/【ゴクル】スクリプト/ブラッシュアップ中/"/>
    </mc:Choice>
  </mc:AlternateContent>
  <xr:revisionPtr revIDLastSave="0" documentId="8_{43C908EE-DAF3-49D3-B2C0-5AC23074A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eerSheet" sheetId="30" r:id="rId1"/>
  </sheets>
  <definedNames>
    <definedName name="_xlnm.Print_Area" localSheetId="0">CareerSheet!$A$1:$BH$123</definedName>
    <definedName name="_xlnm.Print_Titles" localSheetId="0">CareerSheet!$21:$26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4" i="30" l="1"/>
  <c r="I87" i="30" s="1"/>
  <c r="AF8" i="30"/>
  <c r="I63" i="30"/>
  <c r="I27" i="30"/>
  <c r="I39" i="30"/>
  <c r="I51" i="30"/>
  <c r="I75" i="30"/>
</calcChain>
</file>

<file path=xl/sharedStrings.xml><?xml version="1.0" encoding="utf-8"?>
<sst xmlns="http://schemas.openxmlformats.org/spreadsheetml/2006/main" count="154" uniqueCount="81">
  <si>
    <r>
      <t>技術者職務経歴書</t>
    </r>
    <r>
      <rPr>
        <sz val="20"/>
        <color indexed="18"/>
        <rFont val="HG明朝E"/>
        <family val="1"/>
        <charset val="128"/>
      </rPr>
      <t xml:space="preserve">
</t>
    </r>
    <r>
      <rPr>
        <sz val="14"/>
        <color indexed="18"/>
        <rFont val="HG明朝E"/>
        <family val="1"/>
        <charset val="128"/>
      </rPr>
      <t>Ｃａｒｅｅｒ Ｓｈｅｅｔ</t>
    </r>
    <rPh sb="0" eb="3">
      <t>ギジュツシャ</t>
    </rPh>
    <phoneticPr fontId="1"/>
  </si>
  <si>
    <r>
      <t>キャル株式会社</t>
    </r>
    <r>
      <rPr>
        <sz val="11"/>
        <color theme="1"/>
        <rFont val="ＭＳ Ｐゴシック"/>
        <family val="3"/>
        <charset val="128"/>
        <scheme val="minor"/>
      </rPr>
      <t xml:space="preserve">
</t>
    </r>
    <phoneticPr fontId="1"/>
  </si>
  <si>
    <t>No.</t>
    <phoneticPr fontId="1"/>
  </si>
  <si>
    <t>(ﾌﾘｶﾞﾅ)
氏名</t>
    <rPh sb="8" eb="9">
      <t>シ</t>
    </rPh>
    <rPh sb="9" eb="10">
      <t>メイ</t>
    </rPh>
    <phoneticPr fontId="1"/>
  </si>
  <si>
    <t>性別</t>
    <rPh sb="0" eb="2">
      <t>セイベツ</t>
    </rPh>
    <phoneticPr fontId="1"/>
  </si>
  <si>
    <t>年齢</t>
    <rPh sb="0" eb="2">
      <t>ネンレイ</t>
    </rPh>
    <phoneticPr fontId="1"/>
  </si>
  <si>
    <t xml:space="preserve">資格・スキル </t>
    <rPh sb="0" eb="1">
      <t>シ</t>
    </rPh>
    <rPh sb="1" eb="2">
      <t>カク</t>
    </rPh>
    <phoneticPr fontId="1"/>
  </si>
  <si>
    <t>C・G</t>
    <phoneticPr fontId="1"/>
  </si>
  <si>
    <t>男性</t>
  </si>
  <si>
    <r>
      <t xml:space="preserve">・英語ビジネスレベル
</t>
    </r>
    <r>
      <rPr>
        <sz val="10"/>
        <rFont val="ＭＳ Ｐゴシック"/>
        <family val="3"/>
        <charset val="128"/>
      </rPr>
      <t>・React JS Course Completion Certificate(修了証)</t>
    </r>
    <rPh sb="1" eb="3">
      <t>エイゴ</t>
    </rPh>
    <rPh sb="51" eb="54">
      <t>シュウリョウショウ</t>
    </rPh>
    <phoneticPr fontId="1"/>
  </si>
  <si>
    <t>住所</t>
    <rPh sb="0" eb="1">
      <t>ジュウ</t>
    </rPh>
    <rPh sb="1" eb="2">
      <t>ショ</t>
    </rPh>
    <phoneticPr fontId="1"/>
  </si>
  <si>
    <t>大阪市　城東区</t>
    <phoneticPr fontId="1"/>
  </si>
  <si>
    <t>最寄駅</t>
    <rPh sb="0" eb="2">
      <t>モヨリ</t>
    </rPh>
    <rPh sb="2" eb="3">
      <t>エキ</t>
    </rPh>
    <phoneticPr fontId="1"/>
  </si>
  <si>
    <t>大阪メトロ今里筋</t>
    <phoneticPr fontId="1"/>
  </si>
  <si>
    <t>線</t>
    <phoneticPr fontId="1"/>
  </si>
  <si>
    <t>新森古市</t>
  </si>
  <si>
    <t>駅</t>
    <rPh sb="0" eb="1">
      <t>エキ</t>
    </rPh>
    <phoneticPr fontId="1"/>
  </si>
  <si>
    <t>学歴</t>
    <rPh sb="0" eb="1">
      <t>ガク</t>
    </rPh>
    <rPh sb="1" eb="2">
      <t>レキ</t>
    </rPh>
    <phoneticPr fontId="1"/>
  </si>
  <si>
    <t>某大学　電気電子学科</t>
    <rPh sb="0" eb="3">
      <t>ボウダイガク</t>
    </rPh>
    <rPh sb="4" eb="10">
      <t>デンキデンシガッカ</t>
    </rPh>
    <phoneticPr fontId="1"/>
  </si>
  <si>
    <t>卒業</t>
  </si>
  <si>
    <t>得意分野</t>
    <phoneticPr fontId="1"/>
  </si>
  <si>
    <t>React.js、JavaScript、Node.js</t>
    <phoneticPr fontId="1"/>
  </si>
  <si>
    <t>業界
年数</t>
    <rPh sb="0" eb="2">
      <t>ギョウカイ</t>
    </rPh>
    <rPh sb="3" eb="5">
      <t>ネンスウ</t>
    </rPh>
    <phoneticPr fontId="1"/>
  </si>
  <si>
    <t>年月
（昇順）</t>
    <rPh sb="0" eb="1">
      <t>トシ</t>
    </rPh>
    <rPh sb="1" eb="2">
      <t>ツキ</t>
    </rPh>
    <rPh sb="4" eb="5">
      <t>ノボル</t>
    </rPh>
    <rPh sb="5" eb="6">
      <t>ジュン</t>
    </rPh>
    <phoneticPr fontId="1"/>
  </si>
  <si>
    <t>期間</t>
    <rPh sb="0" eb="2">
      <t>キカン</t>
    </rPh>
    <phoneticPr fontId="1"/>
  </si>
  <si>
    <t>業種・業界
プロジェクト名
担当作業内容</t>
    <phoneticPr fontId="1"/>
  </si>
  <si>
    <t>ＯＳ／環境
フレームワーク
その他</t>
    <rPh sb="3" eb="4">
      <t>ワ</t>
    </rPh>
    <rPh sb="4" eb="5">
      <t>サカイ</t>
    </rPh>
    <rPh sb="16" eb="17">
      <t>タ</t>
    </rPh>
    <phoneticPr fontId="1"/>
  </si>
  <si>
    <t>言語
ＤＢ
ツール</t>
    <rPh sb="0" eb="1">
      <t>ゲン</t>
    </rPh>
    <rPh sb="1" eb="2">
      <t>ゴ</t>
    </rPh>
    <phoneticPr fontId="1"/>
  </si>
  <si>
    <t>フェーズ</t>
    <phoneticPr fontId="1"/>
  </si>
  <si>
    <t>役割・職制</t>
    <rPh sb="0" eb="1">
      <t>エキ</t>
    </rPh>
    <rPh sb="1" eb="2">
      <t>ワリ</t>
    </rPh>
    <rPh sb="3" eb="4">
      <t>ショク</t>
    </rPh>
    <rPh sb="4" eb="5">
      <t>セイ</t>
    </rPh>
    <phoneticPr fontId="1"/>
  </si>
  <si>
    <t>規模・人数</t>
    <rPh sb="0" eb="1">
      <t>タダシ</t>
    </rPh>
    <rPh sb="1" eb="2">
      <t>ボ</t>
    </rPh>
    <rPh sb="3" eb="4">
      <t>ジン</t>
    </rPh>
    <rPh sb="4" eb="5">
      <t>カズ</t>
    </rPh>
    <phoneticPr fontId="1"/>
  </si>
  <si>
    <r>
      <rPr>
        <b/>
        <sz val="10"/>
        <color rgb="FF000000"/>
        <rFont val="ＭＳ Ｐゴシック"/>
        <family val="3"/>
        <charset val="128"/>
      </rPr>
      <t xml:space="preserve">●大学履修科目/インド
</t>
    </r>
    <r>
      <rPr>
        <sz val="10"/>
        <color rgb="FF000000"/>
        <rFont val="ＭＳ Ｐゴシック"/>
        <family val="3"/>
        <charset val="128"/>
      </rPr>
      <t>・電子通信/電気部品
・アルゴリズム/DB基礎
・ウェブ開発/モバイルアプリ開発
・日本語(自己研鑽)</t>
    </r>
  </si>
  <si>
    <t>Windows
Bootstrap</t>
    <phoneticPr fontId="1"/>
  </si>
  <si>
    <t>JavaScript
HTML
CSS
MongoDB</t>
  </si>
  <si>
    <t>●</t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</si>
  <si>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</si>
  <si>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</si>
  <si>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phoneticPr fontId="1"/>
  </si>
  <si>
    <t>製造</t>
    <phoneticPr fontId="1"/>
  </si>
  <si>
    <t>テスト</t>
    <phoneticPr fontId="1"/>
  </si>
  <si>
    <t>導入</t>
    <rPh sb="0" eb="2">
      <t>ドウニュウ</t>
    </rPh>
    <phoneticPr fontId="1"/>
  </si>
  <si>
    <t>運用保守</t>
    <rPh sb="0" eb="2">
      <t>ウンヨウ</t>
    </rPh>
    <rPh sb="2" eb="4">
      <t>ホシュ</t>
    </rPh>
    <phoneticPr fontId="1"/>
  </si>
  <si>
    <t>その他</t>
    <rPh sb="2" eb="3">
      <t>タ</t>
    </rPh>
    <phoneticPr fontId="1"/>
  </si>
  <si>
    <t>～</t>
    <phoneticPr fontId="1"/>
  </si>
  <si>
    <t>ヶ月</t>
    <rPh sb="1" eb="2">
      <t>ゲツ</t>
    </rPh>
    <phoneticPr fontId="1"/>
  </si>
  <si>
    <r>
      <rPr>
        <b/>
        <sz val="10"/>
        <color rgb="FF000000"/>
        <rFont val="ＭＳ Ｐゴシック"/>
        <family val="3"/>
        <charset val="128"/>
      </rPr>
      <t xml:space="preserve">●日印ITハイブリッド企業勤務/インド
</t>
    </r>
    <r>
      <rPr>
        <sz val="10"/>
        <color rgb="FF000000"/>
        <rFont val="ＭＳ Ｐゴシック"/>
        <family val="3"/>
        <charset val="128"/>
      </rPr>
      <t>・サプライチェーン管理ツール開発
　- 役割管理機能設計
　- 在庫管理機能設計/開発
　- バックエンド開発
　- 単体テスト/バグ修正</t>
    </r>
  </si>
  <si>
    <t>Windows
Node.js
Express.js</t>
    <phoneticPr fontId="1"/>
  </si>
  <si>
    <t>JavaScript
SQLServer
React</t>
    <phoneticPr fontId="1"/>
  </si>
  <si>
    <t>メンバー</t>
  </si>
  <si>
    <t>10人</t>
    <rPh sb="2" eb="3">
      <t>ニン</t>
    </rPh>
    <phoneticPr fontId="1"/>
  </si>
  <si>
    <t>・クリケットスコア管理ツール開発
　- 選手情報管理機能
　- トーナメント/チーム作成画面開発
　- UI改修/新規画面設計
　- ロールベースモジュール設計
　- React JS Course受講/修了(3ヶ月)</t>
  </si>
  <si>
    <t>Windows/Linux
Node.js
Express.js
Spring Boot
GitHub</t>
    <phoneticPr fontId="1"/>
  </si>
  <si>
    <t>JavaScript
HTML/CSS
Java
MongoDB
React</t>
    <phoneticPr fontId="1"/>
  </si>
  <si>
    <t>12人</t>
    <rPh sb="2" eb="3">
      <t>ニン</t>
    </rPh>
    <phoneticPr fontId="1"/>
  </si>
  <si>
    <t>・従業員管理システム開発
　‐ 従業員プロフィール管理機能
　- 業務情報管理機能
　- 操作性向上(UI/UX改善)
　- ロールベースモジュール設計/実装</t>
  </si>
  <si>
    <t>Windows/Linux
Spring Boot
GitHub/Jenkins
Docker/Postman</t>
    <phoneticPr fontId="1"/>
  </si>
  <si>
    <t>JavaScript
Java
MySQL
React</t>
    <phoneticPr fontId="1"/>
  </si>
  <si>
    <t>4人</t>
    <rPh sb="1" eb="2">
      <t>ニン</t>
    </rPh>
    <phoneticPr fontId="1"/>
  </si>
  <si>
    <r>
      <rPr>
        <b/>
        <sz val="10"/>
        <color rgb="FF000000"/>
        <rFont val="ＭＳ Ｐゴシック"/>
        <family val="3"/>
        <charset val="128"/>
      </rPr>
      <t xml:space="preserve">●社内研修
</t>
    </r>
    <r>
      <rPr>
        <sz val="10"/>
        <color rgb="FF000000"/>
        <rFont val="ＭＳ Ｐゴシック"/>
        <family val="3"/>
        <charset val="128"/>
      </rPr>
      <t>・ビジネス日本語
・IT概念講習/ツール導入
・DB講習（基本SQL/テーブル定義）
・Linux基礎
　- 基本コマンド/シェルスクリプト)
・Java基礎研修
　- マスタメンテナンス（物理/論理削除）
　- 設計書作成/修正
　- 単体テスト（エビデンス作成）
　- オリジナルECサイト作成</t>
    </r>
  </si>
  <si>
    <t>Windows
Linux
Eclipse
VirtualBox</t>
  </si>
  <si>
    <t>Java
PostgreSQL
SQL
Tera Term
WinSCP</t>
    <phoneticPr fontId="1"/>
  </si>
  <si>
    <t xml:space="preserve">●自己研鑽
・Paizaによるプログラミング学習
 - Java：Aランク
</t>
    <rPh sb="1" eb="5">
      <t>ジコケンサン</t>
    </rPh>
    <rPh sb="22" eb="24">
      <t>ガクシュウ</t>
    </rPh>
    <phoneticPr fontId="1"/>
  </si>
  <si>
    <t>Ｐａｉｚａラーニング　取得ランクについて</t>
    <rPh sb="0" eb="20">
      <t>サクヒンセイサク</t>
    </rPh>
    <phoneticPr fontId="26"/>
  </si>
  <si>
    <t>現レーティング：1938　Java：ランクA</t>
    <rPh sb="0" eb="1">
      <t>ゲン</t>
    </rPh>
    <phoneticPr fontId="1"/>
  </si>
  <si>
    <t>レーティング</t>
    <phoneticPr fontId="1"/>
  </si>
  <si>
    <t>ランク</t>
    <phoneticPr fontId="1"/>
  </si>
  <si>
    <t>S：2100 -</t>
    <phoneticPr fontId="1"/>
  </si>
  <si>
    <r>
      <rPr>
        <b/>
        <sz val="10"/>
        <color rgb="FF000000"/>
        <rFont val="ＭＳ Ｐゴシック"/>
        <family val="3"/>
        <charset val="128"/>
      </rPr>
      <t>高度な実装スキルとアルゴリズムの知識</t>
    </r>
    <r>
      <rPr>
        <sz val="10"/>
        <color indexed="8"/>
        <rFont val="ＭＳ Ｐゴシック"/>
        <family val="3"/>
        <charset val="128"/>
      </rPr>
      <t xml:space="preserve">
エンジニアのエキスパート職レベルに相当します</t>
    </r>
    <rPh sb="0" eb="2">
      <t>コウド</t>
    </rPh>
    <rPh sb="3" eb="5">
      <t>ジッソウ</t>
    </rPh>
    <rPh sb="16" eb="18">
      <t>チシキ</t>
    </rPh>
    <rPh sb="31" eb="32">
      <t>ショク</t>
    </rPh>
    <rPh sb="36" eb="38">
      <t>ソウトウ</t>
    </rPh>
    <phoneticPr fontId="1"/>
  </si>
  <si>
    <t>A：1800 - 2100</t>
    <phoneticPr fontId="1"/>
  </si>
  <si>
    <r>
      <rPr>
        <b/>
        <sz val="10"/>
        <color rgb="FF000000"/>
        <rFont val="ＭＳ Ｐゴシック"/>
        <family val="3"/>
        <charset val="128"/>
      </rPr>
      <t xml:space="preserve">高度な実装スキル
</t>
    </r>
    <r>
      <rPr>
        <sz val="10"/>
        <color rgb="FF000000"/>
        <rFont val="ＭＳ Ｐゴシック"/>
        <family val="3"/>
        <charset val="128"/>
      </rPr>
      <t>エンジニアチームのリーダーレベルに相当します</t>
    </r>
    <rPh sb="0" eb="2">
      <t>コウド</t>
    </rPh>
    <rPh sb="3" eb="5">
      <t>ジッソウ</t>
    </rPh>
    <rPh sb="26" eb="28">
      <t>ソウトウ</t>
    </rPh>
    <phoneticPr fontId="1"/>
  </si>
  <si>
    <t>B：1600 - 1800</t>
    <phoneticPr fontId="1"/>
  </si>
  <si>
    <r>
      <rPr>
        <b/>
        <sz val="10"/>
        <color rgb="FF000000"/>
        <rFont val="ＭＳ Ｐゴシック"/>
        <family val="3"/>
        <charset val="128"/>
      </rPr>
      <t>実用的な実装スキル</t>
    </r>
    <r>
      <rPr>
        <sz val="10"/>
        <color indexed="8"/>
        <rFont val="ＭＳ Ｐゴシック"/>
        <family val="3"/>
        <charset val="128"/>
      </rPr>
      <t xml:space="preserve">
エンジニアチームのメンバーレベルに相当します</t>
    </r>
    <rPh sb="0" eb="3">
      <t>ジツヨウテキ</t>
    </rPh>
    <rPh sb="4" eb="6">
      <t>ジッソウ</t>
    </rPh>
    <rPh sb="27" eb="29">
      <t>ソウトウ</t>
    </rPh>
    <phoneticPr fontId="1"/>
  </si>
  <si>
    <t>C：1200 - 1600</t>
    <phoneticPr fontId="1"/>
  </si>
  <si>
    <r>
      <rPr>
        <b/>
        <sz val="10"/>
        <color rgb="FF000000"/>
        <rFont val="ＭＳ Ｐゴシック"/>
        <family val="3"/>
        <charset val="128"/>
      </rPr>
      <t>基本的な実装スキル</t>
    </r>
    <r>
      <rPr>
        <sz val="10"/>
        <color indexed="8"/>
        <rFont val="ＭＳ Ｐゴシック"/>
        <family val="3"/>
        <charset val="128"/>
      </rPr>
      <t xml:space="preserve">
新人エンジニアレベルに相当します</t>
    </r>
    <rPh sb="0" eb="3">
      <t>キホンテキ</t>
    </rPh>
    <rPh sb="4" eb="6">
      <t>ジッソウ</t>
    </rPh>
    <rPh sb="10" eb="12">
      <t>シンジン</t>
    </rPh>
    <rPh sb="21" eb="23">
      <t>ソウトウ</t>
    </rPh>
    <phoneticPr fontId="1"/>
  </si>
  <si>
    <t>D：800   - 1200</t>
    <phoneticPr fontId="1"/>
  </si>
  <si>
    <t>基礎知識習得レベル</t>
    <rPh sb="0" eb="2">
      <t>キソ</t>
    </rPh>
    <rPh sb="2" eb="4">
      <t>チシキ</t>
    </rPh>
    <rPh sb="4" eb="6">
      <t>シュウトク</t>
    </rPh>
    <phoneticPr fontId="1"/>
  </si>
  <si>
    <t>※Paiza社の資料より</t>
    <rPh sb="6" eb="7">
      <t>シャ</t>
    </rPh>
    <rPh sb="8" eb="10">
      <t>シリョウ</t>
    </rPh>
    <phoneticPr fontId="1"/>
  </si>
  <si>
    <t>アピールポイント・アピールコメント</t>
    <phoneticPr fontId="1"/>
  </si>
  <si>
    <t>備考</t>
    <rPh sb="0" eb="2">
      <t>ビコウ</t>
    </rPh>
    <phoneticPr fontId="1"/>
  </si>
  <si>
    <t>JavaScript、React.js、Node.jsを中心にウェブアプリケーション開発の実務経験がございます。約3年間、複数のシステム開発案件に参画し、要件定義から設計・開発・運用保守まで幅広い工程を経験してまいりました。日本語と英語を活かしたコミュニケーションや進捗管理も実践しておりました。与えられた業務には最後まで責任を持ち、誠実に取り組む姿勢を大切にしております。新しい技術や知識の習得にも積極的に取り組み、実務に貢献してまいります。</t>
  </si>
  <si>
    <t>※期間には重複する箇所がございます。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</si>
</sst>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;@"/>
    <numFmt numFmtId="177" formatCode="0&quot;年&quot;"/>
    <numFmt numFmtId="178" formatCode="0&quot;歳&quot;"/>
    <numFmt numFmtId="179" formatCode="#,##0;\-#,##0;&quot;-&quot;"/>
  </numFmts>
  <fonts count="34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b/>
      <sz val="16"/>
      <color indexed="8"/>
      <name val="ＭＳ Ｐゴシック"/>
      <family val="3"/>
      <charset val="128"/>
    </font>
    <font>
      <b/>
      <sz val="20"/>
      <color indexed="8"/>
      <name val="ＭＳ Ｐゴシック"/>
      <family val="3"/>
      <charset val="128"/>
    </font>
    <font>
      <sz val="9"/>
      <color indexed="8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6"/>
      <color indexed="8"/>
      <name val="HG明朝E"/>
      <family val="1"/>
      <charset val="128"/>
    </font>
    <font>
      <sz val="20"/>
      <color indexed="18"/>
      <name val="HG明朝E"/>
      <family val="1"/>
      <charset val="128"/>
    </font>
    <font>
      <sz val="14"/>
      <color indexed="18"/>
      <name val="HG明朝E"/>
      <family val="1"/>
      <charset val="128"/>
    </font>
    <font>
      <b/>
      <sz val="12"/>
      <color indexed="8"/>
      <name val="ＭＳ Ｐゴシック"/>
      <family val="3"/>
      <charset val="128"/>
    </font>
    <font>
      <b/>
      <sz val="10"/>
      <color indexed="23"/>
      <name val="ＭＳ Ｐゴシック"/>
      <family val="3"/>
      <charset val="128"/>
    </font>
    <font>
      <sz val="16"/>
      <color indexed="18"/>
      <name val="HG明朝E"/>
      <family val="1"/>
      <charset val="128"/>
    </font>
    <font>
      <sz val="8"/>
      <color indexed="62"/>
      <name val="ＭＳ Ｐゴシック"/>
      <family val="3"/>
      <charset val="128"/>
    </font>
    <font>
      <sz val="8"/>
      <color indexed="23"/>
      <name val="ＭＳ Ｐ明朝"/>
      <family val="1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name val="ＭＳ Ｐゴシック"/>
      <family val="3"/>
      <charset val="128"/>
    </font>
    <font>
      <sz val="8"/>
      <color indexed="8"/>
      <name val="ＭＳ Ｐ明朝"/>
      <family val="1"/>
      <charset val="128"/>
    </font>
    <font>
      <sz val="11"/>
      <color theme="0" tint="-0.34998626667073579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  <font>
      <b/>
      <sz val="14"/>
      <color theme="0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10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dashed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ashed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9" fontId="21" fillId="0" borderId="0" applyFill="0" applyBorder="0" applyAlignment="0"/>
    <xf numFmtId="0" fontId="22" fillId="0" borderId="1" applyNumberFormat="0" applyAlignment="0" applyProtection="0">
      <alignment horizontal="left" vertical="center"/>
    </xf>
    <xf numFmtId="0" fontId="22" fillId="0" borderId="2">
      <alignment horizontal="left" vertical="center"/>
    </xf>
  </cellStyleXfs>
  <cellXfs count="31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justifyLastLine="1"/>
    </xf>
    <xf numFmtId="0" fontId="5" fillId="0" borderId="3" xfId="0" applyFont="1" applyBorder="1">
      <alignment vertical="center"/>
    </xf>
    <xf numFmtId="177" fontId="4" fillId="0" borderId="0" xfId="0" applyNumberFormat="1" applyFont="1">
      <alignment vertical="center"/>
    </xf>
    <xf numFmtId="0" fontId="6" fillId="0" borderId="0" xfId="0" applyFont="1" applyAlignment="1"/>
    <xf numFmtId="0" fontId="3" fillId="0" borderId="0" xfId="0" applyFont="1">
      <alignment vertical="center"/>
    </xf>
    <xf numFmtId="0" fontId="9" fillId="0" borderId="0" xfId="0" applyFont="1" applyAlignment="1"/>
    <xf numFmtId="14" fontId="0" fillId="0" borderId="0" xfId="0" applyNumberFormat="1">
      <alignment vertical="center"/>
    </xf>
    <xf numFmtId="14" fontId="25" fillId="3" borderId="0" xfId="0" applyNumberFormat="1" applyFont="1" applyFill="1">
      <alignment vertical="center"/>
    </xf>
    <xf numFmtId="0" fontId="2" fillId="0" borderId="4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48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8" fillId="0" borderId="0" xfId="0" applyFont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/>
    </xf>
    <xf numFmtId="0" fontId="29" fillId="0" borderId="0" xfId="0" applyFont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wrapText="1"/>
      <protection locked="0"/>
    </xf>
    <xf numFmtId="0" fontId="30" fillId="0" borderId="19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right" vertical="center" wrapText="1"/>
      <protection locked="0"/>
    </xf>
    <xf numFmtId="0" fontId="2" fillId="0" borderId="11" xfId="0" applyFont="1" applyBorder="1" applyAlignment="1" applyProtection="1">
      <alignment horizontal="right" vertical="center" wrapText="1"/>
      <protection locked="0"/>
    </xf>
    <xf numFmtId="0" fontId="7" fillId="2" borderId="49" xfId="0" applyFont="1" applyFill="1" applyBorder="1" applyAlignment="1">
      <alignment horizontal="distributed" vertical="center"/>
    </xf>
    <xf numFmtId="0" fontId="7" fillId="2" borderId="50" xfId="0" applyFont="1" applyFill="1" applyBorder="1" applyAlignment="1">
      <alignment horizontal="distributed" vertical="center"/>
    </xf>
    <xf numFmtId="0" fontId="7" fillId="2" borderId="54" xfId="0" applyFont="1" applyFill="1" applyBorder="1" applyAlignment="1">
      <alignment horizontal="distributed" vertical="center"/>
    </xf>
    <xf numFmtId="0" fontId="7" fillId="2" borderId="52" xfId="0" applyFont="1" applyFill="1" applyBorder="1" applyAlignment="1">
      <alignment horizontal="distributed" vertical="center"/>
    </xf>
    <xf numFmtId="0" fontId="7" fillId="2" borderId="45" xfId="0" applyFont="1" applyFill="1" applyBorder="1" applyAlignment="1">
      <alignment horizontal="distributed" vertical="center"/>
    </xf>
    <xf numFmtId="0" fontId="7" fillId="2" borderId="55" xfId="0" applyFont="1" applyFill="1" applyBorder="1" applyAlignment="1">
      <alignment horizontal="distributed" vertical="center"/>
    </xf>
    <xf numFmtId="0" fontId="27" fillId="0" borderId="101" xfId="0" applyFont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102" xfId="0" applyFont="1" applyBorder="1" applyAlignment="1" applyProtection="1">
      <alignment horizontal="center" vertical="center" wrapText="1"/>
      <protection locked="0"/>
    </xf>
    <xf numFmtId="0" fontId="28" fillId="5" borderId="0" xfId="0" applyFont="1" applyFill="1" applyAlignment="1" applyProtection="1">
      <alignment horizontal="center" vertical="center" wrapText="1"/>
      <protection locked="0"/>
    </xf>
    <xf numFmtId="0" fontId="28" fillId="6" borderId="0" xfId="0" applyFont="1" applyFill="1" applyAlignment="1" applyProtection="1">
      <alignment horizontal="center" vertical="center" wrapText="1"/>
      <protection locked="0"/>
    </xf>
    <xf numFmtId="0" fontId="31" fillId="0" borderId="19" xfId="0" applyFont="1" applyBorder="1" applyAlignment="1" applyProtection="1">
      <alignment horizontal="left" wrapText="1"/>
      <protection locked="0"/>
    </xf>
    <xf numFmtId="14" fontId="25" fillId="4" borderId="4" xfId="0" applyNumberFormat="1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distributed" vertical="center" wrapText="1" justifyLastLine="1"/>
    </xf>
    <xf numFmtId="0" fontId="24" fillId="2" borderId="5" xfId="0" applyFont="1" applyFill="1" applyBorder="1" applyAlignment="1">
      <alignment horizontal="distributed" vertical="center" justifyLastLine="1"/>
    </xf>
    <xf numFmtId="0" fontId="24" fillId="2" borderId="6" xfId="0" applyFont="1" applyFill="1" applyBorder="1" applyAlignment="1">
      <alignment horizontal="distributed" vertical="center" justifyLastLine="1"/>
    </xf>
    <xf numFmtId="0" fontId="24" fillId="2" borderId="7" xfId="0" applyFont="1" applyFill="1" applyBorder="1" applyAlignment="1">
      <alignment horizontal="distributed" vertical="center" justifyLastLine="1"/>
    </xf>
    <xf numFmtId="177" fontId="19" fillId="0" borderId="8" xfId="0" applyNumberFormat="1" applyFont="1" applyBorder="1" applyAlignment="1" applyProtection="1">
      <alignment horizontal="center" vertical="center"/>
      <protection locked="0"/>
    </xf>
    <xf numFmtId="177" fontId="19" fillId="0" borderId="9" xfId="0" applyNumberFormat="1" applyFont="1" applyBorder="1" applyAlignment="1" applyProtection="1">
      <alignment horizontal="center" vertical="center"/>
      <protection locked="0"/>
    </xf>
    <xf numFmtId="177" fontId="19" fillId="0" borderId="0" xfId="0" applyNumberFormat="1" applyFont="1" applyAlignment="1" applyProtection="1">
      <alignment horizontal="center" vertical="center"/>
      <protection locked="0"/>
    </xf>
    <xf numFmtId="177" fontId="19" fillId="0" borderId="10" xfId="0" applyNumberFormat="1" applyFont="1" applyBorder="1" applyAlignment="1" applyProtection="1">
      <alignment horizontal="center" vertical="center"/>
      <protection locked="0"/>
    </xf>
    <xf numFmtId="177" fontId="19" fillId="0" borderId="3" xfId="0" applyNumberFormat="1" applyFont="1" applyBorder="1" applyAlignment="1" applyProtection="1">
      <alignment horizontal="center" vertical="center"/>
      <protection locked="0"/>
    </xf>
    <xf numFmtId="177" fontId="19" fillId="0" borderId="11" xfId="0" applyNumberFormat="1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 shrinkToFit="1"/>
      <protection locked="0"/>
    </xf>
    <xf numFmtId="0" fontId="19" fillId="0" borderId="8" xfId="0" applyFont="1" applyBorder="1" applyAlignment="1" applyProtection="1">
      <alignment horizontal="center" vertical="center" shrinkToFit="1"/>
      <protection locked="0"/>
    </xf>
    <xf numFmtId="0" fontId="19" fillId="0" borderId="13" xfId="0" applyFont="1" applyBorder="1" applyAlignment="1" applyProtection="1">
      <alignment horizontal="center" vertical="center" shrinkToFit="1"/>
      <protection locked="0"/>
    </xf>
    <xf numFmtId="0" fontId="19" fillId="0" borderId="14" xfId="0" applyFont="1" applyBorder="1" applyAlignment="1" applyProtection="1">
      <alignment horizontal="center" vertical="center" shrinkToFit="1"/>
      <protection locked="0"/>
    </xf>
    <xf numFmtId="0" fontId="19" fillId="0" borderId="0" xfId="0" applyFont="1" applyAlignment="1" applyProtection="1">
      <alignment horizontal="center" vertical="center" shrinkToFit="1"/>
      <protection locked="0"/>
    </xf>
    <xf numFmtId="0" fontId="19" fillId="0" borderId="15" xfId="0" applyFont="1" applyBorder="1" applyAlignment="1" applyProtection="1">
      <alignment horizontal="center" vertical="center" shrinkToFit="1"/>
      <protection locked="0"/>
    </xf>
    <xf numFmtId="0" fontId="19" fillId="0" borderId="16" xfId="0" applyFont="1" applyBorder="1" applyAlignment="1" applyProtection="1">
      <alignment horizontal="center" vertical="center" shrinkToFit="1"/>
      <protection locked="0"/>
    </xf>
    <xf numFmtId="0" fontId="19" fillId="0" borderId="3" xfId="0" applyFont="1" applyBorder="1" applyAlignment="1" applyProtection="1">
      <alignment horizontal="center" vertical="center" shrinkToFit="1"/>
      <protection locked="0"/>
    </xf>
    <xf numFmtId="0" fontId="19" fillId="0" borderId="17" xfId="0" applyFont="1" applyBorder="1" applyAlignment="1" applyProtection="1">
      <alignment horizontal="center" vertical="center" shrinkToFit="1"/>
      <protection locked="0"/>
    </xf>
    <xf numFmtId="0" fontId="18" fillId="0" borderId="18" xfId="0" applyFont="1" applyBorder="1" applyAlignment="1" applyProtection="1">
      <alignment horizontal="left" vertical="center" shrinkToFit="1"/>
      <protection locked="0"/>
    </xf>
    <xf numFmtId="0" fontId="18" fillId="0" borderId="19" xfId="0" applyFont="1" applyBorder="1" applyAlignment="1" applyProtection="1">
      <alignment horizontal="left" vertical="center" shrinkToFit="1"/>
      <protection locked="0"/>
    </xf>
    <xf numFmtId="0" fontId="18" fillId="0" borderId="20" xfId="0" applyFont="1" applyBorder="1" applyAlignment="1" applyProtection="1">
      <alignment horizontal="left" vertical="center" shrinkToFit="1"/>
      <protection locked="0"/>
    </xf>
    <xf numFmtId="0" fontId="18" fillId="0" borderId="21" xfId="0" applyFont="1" applyBorder="1" applyAlignment="1" applyProtection="1">
      <alignment horizontal="left" vertical="center" shrinkToFit="1"/>
      <protection locked="0"/>
    </xf>
    <xf numFmtId="0" fontId="18" fillId="0" borderId="22" xfId="0" applyFont="1" applyBorder="1" applyAlignment="1" applyProtection="1">
      <alignment horizontal="left" vertical="center" shrinkToFit="1"/>
      <protection locked="0"/>
    </xf>
    <xf numFmtId="0" fontId="18" fillId="0" borderId="23" xfId="0" applyFont="1" applyBorder="1" applyAlignment="1" applyProtection="1">
      <alignment horizontal="left" vertical="center" shrinkToFit="1"/>
      <protection locked="0"/>
    </xf>
    <xf numFmtId="0" fontId="18" fillId="0" borderId="24" xfId="0" applyFont="1" applyBorder="1" applyAlignment="1" applyProtection="1">
      <alignment horizontal="left" vertical="center" shrinkToFit="1"/>
      <protection locked="0"/>
    </xf>
    <xf numFmtId="0" fontId="18" fillId="0" borderId="25" xfId="0" applyFont="1" applyBorder="1" applyAlignment="1" applyProtection="1">
      <alignment horizontal="left" vertical="center" shrinkToFit="1"/>
      <protection locked="0"/>
    </xf>
    <xf numFmtId="0" fontId="18" fillId="0" borderId="26" xfId="0" applyFont="1" applyBorder="1" applyAlignment="1" applyProtection="1">
      <alignment horizontal="left" vertical="center" shrinkToFit="1"/>
      <protection locked="0"/>
    </xf>
    <xf numFmtId="0" fontId="15" fillId="0" borderId="27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 applyProtection="1">
      <alignment horizontal="center" vertical="center"/>
      <protection locked="0"/>
    </xf>
    <xf numFmtId="0" fontId="15" fillId="0" borderId="29" xfId="0" applyFont="1" applyBorder="1" applyAlignment="1" applyProtection="1">
      <alignment horizontal="center" vertical="center"/>
      <protection locked="0"/>
    </xf>
    <xf numFmtId="0" fontId="15" fillId="0" borderId="30" xfId="0" applyFont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center" vertical="distributed" textRotation="255"/>
    </xf>
    <xf numFmtId="0" fontId="16" fillId="0" borderId="32" xfId="0" applyFont="1" applyBorder="1" applyAlignment="1">
      <alignment horizontal="center" vertical="distributed" textRotation="255"/>
    </xf>
    <xf numFmtId="0" fontId="16" fillId="0" borderId="33" xfId="0" applyFont="1" applyBorder="1" applyAlignment="1">
      <alignment horizontal="center" vertical="distributed" textRotation="255"/>
    </xf>
    <xf numFmtId="0" fontId="16" fillId="0" borderId="34" xfId="0" applyFont="1" applyBorder="1" applyAlignment="1">
      <alignment horizontal="center" vertical="distributed" textRotation="255"/>
    </xf>
    <xf numFmtId="0" fontId="16" fillId="0" borderId="27" xfId="0" applyFont="1" applyBorder="1" applyAlignment="1">
      <alignment horizontal="center" vertical="distributed" textRotation="255"/>
    </xf>
    <xf numFmtId="0" fontId="16" fillId="0" borderId="35" xfId="0" applyFont="1" applyBorder="1" applyAlignment="1">
      <alignment horizontal="center" vertical="distributed" textRotation="255"/>
    </xf>
    <xf numFmtId="0" fontId="16" fillId="0" borderId="36" xfId="0" applyFont="1" applyBorder="1" applyAlignment="1">
      <alignment horizontal="center" vertical="distributed" textRotation="255"/>
    </xf>
    <xf numFmtId="0" fontId="16" fillId="0" borderId="29" xfId="0" applyFont="1" applyBorder="1" applyAlignment="1">
      <alignment horizontal="center" vertical="distributed" textRotation="255"/>
    </xf>
    <xf numFmtId="0" fontId="16" fillId="0" borderId="37" xfId="0" applyFont="1" applyBorder="1" applyAlignment="1">
      <alignment horizontal="center" vertical="distributed" textRotation="255"/>
    </xf>
    <xf numFmtId="0" fontId="15" fillId="0" borderId="32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176" fontId="17" fillId="0" borderId="12" xfId="0" applyNumberFormat="1" applyFont="1" applyBorder="1" applyAlignment="1" applyProtection="1">
      <alignment horizontal="center" vertical="center" shrinkToFit="1"/>
      <protection locked="0"/>
    </xf>
    <xf numFmtId="176" fontId="17" fillId="0" borderId="8" xfId="0" applyNumberFormat="1" applyFont="1" applyBorder="1" applyAlignment="1" applyProtection="1">
      <alignment horizontal="center" vertical="center" shrinkToFit="1"/>
      <protection locked="0"/>
    </xf>
    <xf numFmtId="176" fontId="17" fillId="0" borderId="13" xfId="0" applyNumberFormat="1" applyFont="1" applyBorder="1" applyAlignment="1" applyProtection="1">
      <alignment horizontal="center" vertical="center" shrinkToFit="1"/>
      <protection locked="0"/>
    </xf>
    <xf numFmtId="176" fontId="17" fillId="0" borderId="14" xfId="0" applyNumberFormat="1" applyFont="1" applyBorder="1" applyAlignment="1" applyProtection="1">
      <alignment horizontal="center" vertical="center" shrinkToFit="1"/>
      <protection locked="0"/>
    </xf>
    <xf numFmtId="176" fontId="17" fillId="0" borderId="0" xfId="0" applyNumberFormat="1" applyFont="1" applyAlignment="1" applyProtection="1">
      <alignment horizontal="center" vertical="center" shrinkToFit="1"/>
      <protection locked="0"/>
    </xf>
    <xf numFmtId="176" fontId="17" fillId="0" borderId="15" xfId="0" applyNumberFormat="1" applyFont="1" applyBorder="1" applyAlignment="1" applyProtection="1">
      <alignment horizontal="center" vertical="center" shrinkToFit="1"/>
      <protection locked="0"/>
    </xf>
    <xf numFmtId="0" fontId="19" fillId="0" borderId="1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31" fillId="0" borderId="43" xfId="0" applyFont="1" applyBorder="1" applyAlignment="1" applyProtection="1">
      <alignment vertical="center" wrapText="1"/>
      <protection locked="0"/>
    </xf>
    <xf numFmtId="0" fontId="17" fillId="0" borderId="43" xfId="0" applyFont="1" applyBorder="1" applyAlignment="1" applyProtection="1">
      <alignment vertical="center" wrapText="1"/>
      <protection locked="0"/>
    </xf>
    <xf numFmtId="0" fontId="17" fillId="0" borderId="42" xfId="0" applyFont="1" applyBorder="1" applyAlignment="1" applyProtection="1">
      <alignment vertical="center" wrapText="1"/>
      <protection locked="0"/>
    </xf>
    <xf numFmtId="0" fontId="17" fillId="0" borderId="86" xfId="0" applyFont="1" applyBorder="1" applyAlignment="1" applyProtection="1">
      <alignment vertical="center" wrapText="1"/>
      <protection locked="0"/>
    </xf>
    <xf numFmtId="0" fontId="18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76" fontId="17" fillId="0" borderId="18" xfId="0" applyNumberFormat="1" applyFont="1" applyBorder="1" applyAlignment="1" applyProtection="1">
      <alignment horizontal="center" vertical="center" shrinkToFit="1"/>
      <protection locked="0"/>
    </xf>
    <xf numFmtId="176" fontId="17" fillId="0" borderId="19" xfId="0" applyNumberFormat="1" applyFont="1" applyBorder="1" applyAlignment="1" applyProtection="1">
      <alignment horizontal="center" vertical="center" shrinkToFit="1"/>
      <protection locked="0"/>
    </xf>
    <xf numFmtId="176" fontId="17" fillId="0" borderId="85" xfId="0" applyNumberFormat="1" applyFont="1" applyBorder="1" applyAlignment="1" applyProtection="1">
      <alignment horizontal="center" vertical="center" shrinkToFit="1"/>
      <protection locked="0"/>
    </xf>
    <xf numFmtId="0" fontId="17" fillId="0" borderId="1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2" fillId="0" borderId="4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15" xfId="0" applyFont="1" applyBorder="1" applyAlignment="1" applyProtection="1">
      <alignment vertical="center" wrapText="1"/>
      <protection locked="0"/>
    </xf>
    <xf numFmtId="0" fontId="2" fillId="0" borderId="48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17" xfId="0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2" fillId="0" borderId="14" xfId="0" applyFont="1" applyBorder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vertical="center" wrapText="1"/>
      <protection locked="0"/>
    </xf>
    <xf numFmtId="0" fontId="2" fillId="0" borderId="16" xfId="0" applyFont="1" applyBorder="1" applyAlignment="1" applyProtection="1">
      <alignment vertical="center" wrapText="1"/>
      <protection locked="0"/>
    </xf>
    <xf numFmtId="0" fontId="2" fillId="0" borderId="11" xfId="0" applyFont="1" applyBorder="1" applyAlignment="1" applyProtection="1">
      <alignment vertical="center" wrapText="1"/>
      <protection locked="0"/>
    </xf>
    <xf numFmtId="0" fontId="7" fillId="2" borderId="49" xfId="0" applyFont="1" applyFill="1" applyBorder="1" applyAlignment="1">
      <alignment horizontal="distributed" vertical="center" justifyLastLine="1"/>
    </xf>
    <xf numFmtId="0" fontId="7" fillId="2" borderId="50" xfId="0" applyFont="1" applyFill="1" applyBorder="1" applyAlignment="1">
      <alignment horizontal="distributed" vertical="center" justifyLastLine="1"/>
    </xf>
    <xf numFmtId="0" fontId="7" fillId="2" borderId="51" xfId="0" applyFont="1" applyFill="1" applyBorder="1" applyAlignment="1">
      <alignment horizontal="distributed" vertical="center" justifyLastLine="1"/>
    </xf>
    <xf numFmtId="0" fontId="7" fillId="2" borderId="52" xfId="0" applyFont="1" applyFill="1" applyBorder="1" applyAlignment="1">
      <alignment horizontal="distributed" vertical="center" justifyLastLine="1"/>
    </xf>
    <xf numFmtId="0" fontId="7" fillId="2" borderId="45" xfId="0" applyFont="1" applyFill="1" applyBorder="1" applyAlignment="1">
      <alignment horizontal="distributed" vertical="center" justifyLastLine="1"/>
    </xf>
    <xf numFmtId="0" fontId="7" fillId="2" borderId="46" xfId="0" applyFont="1" applyFill="1" applyBorder="1" applyAlignment="1">
      <alignment horizontal="distributed" vertical="center" justifyLastLine="1"/>
    </xf>
    <xf numFmtId="0" fontId="7" fillId="2" borderId="53" xfId="0" applyFont="1" applyFill="1" applyBorder="1" applyAlignment="1">
      <alignment horizontal="distributed" vertical="center" justifyLastLine="1"/>
    </xf>
    <xf numFmtId="0" fontId="7" fillId="2" borderId="54" xfId="0" applyFont="1" applyFill="1" applyBorder="1" applyAlignment="1">
      <alignment horizontal="distributed" vertical="center" justifyLastLine="1"/>
    </xf>
    <xf numFmtId="0" fontId="7" fillId="2" borderId="44" xfId="0" applyFont="1" applyFill="1" applyBorder="1" applyAlignment="1">
      <alignment horizontal="distributed" vertical="center" justifyLastLine="1"/>
    </xf>
    <xf numFmtId="0" fontId="7" fillId="2" borderId="55" xfId="0" applyFont="1" applyFill="1" applyBorder="1" applyAlignment="1">
      <alignment horizontal="distributed" vertical="center" justifyLastLine="1"/>
    </xf>
    <xf numFmtId="0" fontId="8" fillId="0" borderId="56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176" fontId="17" fillId="0" borderId="44" xfId="0" applyNumberFormat="1" applyFont="1" applyBorder="1" applyAlignment="1" applyProtection="1">
      <alignment horizontal="center" vertical="center" shrinkToFit="1"/>
      <protection locked="0"/>
    </xf>
    <xf numFmtId="176" fontId="17" fillId="0" borderId="45" xfId="0" applyNumberFormat="1" applyFont="1" applyBorder="1" applyAlignment="1" applyProtection="1">
      <alignment horizontal="center" vertical="center" shrinkToFit="1"/>
      <protection locked="0"/>
    </xf>
    <xf numFmtId="176" fontId="17" fillId="0" borderId="46" xfId="0" applyNumberFormat="1" applyFont="1" applyBorder="1" applyAlignment="1" applyProtection="1">
      <alignment horizontal="center" vertical="center" shrinkToFit="1"/>
      <protection locked="0"/>
    </xf>
    <xf numFmtId="0" fontId="8" fillId="0" borderId="39" xfId="0" applyFont="1" applyBorder="1" applyAlignment="1">
      <alignment horizontal="center" vertical="center"/>
    </xf>
    <xf numFmtId="0" fontId="30" fillId="0" borderId="12" xfId="0" applyFont="1" applyBorder="1" applyAlignment="1" applyProtection="1">
      <alignment vertical="center" wrapText="1"/>
      <protection locked="0"/>
    </xf>
    <xf numFmtId="0" fontId="23" fillId="0" borderId="8" xfId="0" applyFont="1" applyBorder="1" applyAlignment="1" applyProtection="1">
      <alignment vertical="center" wrapText="1"/>
      <protection locked="0"/>
    </xf>
    <xf numFmtId="0" fontId="23" fillId="0" borderId="13" xfId="0" applyFont="1" applyBorder="1" applyAlignment="1" applyProtection="1">
      <alignment vertical="center" wrapText="1"/>
      <protection locked="0"/>
    </xf>
    <xf numFmtId="0" fontId="23" fillId="0" borderId="14" xfId="0" applyFont="1" applyBorder="1" applyAlignment="1" applyProtection="1">
      <alignment vertical="center" wrapText="1"/>
      <protection locked="0"/>
    </xf>
    <xf numFmtId="0" fontId="23" fillId="0" borderId="0" xfId="0" applyFont="1" applyAlignment="1" applyProtection="1">
      <alignment vertical="center" wrapText="1"/>
      <protection locked="0"/>
    </xf>
    <xf numFmtId="0" fontId="23" fillId="0" borderId="15" xfId="0" applyFont="1" applyBorder="1" applyAlignment="1" applyProtection="1">
      <alignment vertical="center" wrapText="1"/>
      <protection locked="0"/>
    </xf>
    <xf numFmtId="0" fontId="23" fillId="0" borderId="16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vertical="center" wrapText="1"/>
      <protection locked="0"/>
    </xf>
    <xf numFmtId="0" fontId="23" fillId="0" borderId="17" xfId="0" applyFont="1" applyBorder="1" applyAlignment="1" applyProtection="1">
      <alignment vertical="center" wrapText="1"/>
      <protection locked="0"/>
    </xf>
    <xf numFmtId="0" fontId="17" fillId="0" borderId="5" xfId="0" applyFont="1" applyBorder="1" applyAlignment="1" applyProtection="1">
      <alignment vertical="center" wrapText="1"/>
      <protection locked="0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7" fillId="2" borderId="57" xfId="0" applyFont="1" applyFill="1" applyBorder="1" applyAlignment="1">
      <alignment horizontal="distributed" vertical="center" justifyLastLine="1"/>
    </xf>
    <xf numFmtId="0" fontId="7" fillId="2" borderId="58" xfId="0" applyFont="1" applyFill="1" applyBorder="1" applyAlignment="1">
      <alignment horizontal="distributed" vertical="center" justifyLastLine="1"/>
    </xf>
    <xf numFmtId="0" fontId="7" fillId="2" borderId="59" xfId="0" applyFont="1" applyFill="1" applyBorder="1" applyAlignment="1">
      <alignment horizontal="distributed" vertical="center" justifyLastLine="1"/>
    </xf>
    <xf numFmtId="0" fontId="7" fillId="2" borderId="60" xfId="0" applyFont="1" applyFill="1" applyBorder="1" applyAlignment="1">
      <alignment horizontal="distributed" vertical="center" justifyLastLine="1"/>
    </xf>
    <xf numFmtId="0" fontId="7" fillId="2" borderId="61" xfId="0" applyFont="1" applyFill="1" applyBorder="1" applyAlignment="1">
      <alignment horizontal="distributed" vertical="center" justifyLastLine="1"/>
    </xf>
    <xf numFmtId="0" fontId="7" fillId="2" borderId="62" xfId="0" applyFont="1" applyFill="1" applyBorder="1" applyAlignment="1">
      <alignment horizontal="distributed" vertical="center" justifyLastLine="1"/>
    </xf>
    <xf numFmtId="0" fontId="7" fillId="2" borderId="53" xfId="0" applyFont="1" applyFill="1" applyBorder="1" applyAlignment="1">
      <alignment horizontal="center" vertical="distributed" textRotation="255" justifyLastLine="1"/>
    </xf>
    <xf numFmtId="0" fontId="7" fillId="2" borderId="50" xfId="0" applyFont="1" applyFill="1" applyBorder="1" applyAlignment="1">
      <alignment horizontal="center" vertical="distributed" textRotation="255" justifyLastLine="1"/>
    </xf>
    <xf numFmtId="0" fontId="7" fillId="2" borderId="51" xfId="0" applyFont="1" applyFill="1" applyBorder="1" applyAlignment="1">
      <alignment horizontal="center" vertical="distributed" textRotation="255" justifyLastLine="1"/>
    </xf>
    <xf numFmtId="0" fontId="7" fillId="2" borderId="14" xfId="0" applyFont="1" applyFill="1" applyBorder="1" applyAlignment="1">
      <alignment horizontal="center" vertical="distributed" textRotation="255" justifyLastLine="1"/>
    </xf>
    <xf numFmtId="0" fontId="7" fillId="2" borderId="0" xfId="0" applyFont="1" applyFill="1" applyAlignment="1">
      <alignment horizontal="center" vertical="distributed" textRotation="255" justifyLastLine="1"/>
    </xf>
    <xf numFmtId="0" fontId="7" fillId="2" borderId="15" xfId="0" applyFont="1" applyFill="1" applyBorder="1" applyAlignment="1">
      <alignment horizontal="center" vertical="distributed" textRotation="255" justifyLastLine="1"/>
    </xf>
    <xf numFmtId="0" fontId="7" fillId="2" borderId="63" xfId="0" applyFont="1" applyFill="1" applyBorder="1" applyAlignment="1">
      <alignment horizontal="center" vertical="distributed" textRotation="255" justifyLastLine="1"/>
    </xf>
    <xf numFmtId="0" fontId="7" fillId="2" borderId="64" xfId="0" applyFont="1" applyFill="1" applyBorder="1" applyAlignment="1">
      <alignment horizontal="center" vertical="distributed" textRotation="255" justifyLastLine="1"/>
    </xf>
    <xf numFmtId="0" fontId="7" fillId="2" borderId="65" xfId="0" applyFont="1" applyFill="1" applyBorder="1" applyAlignment="1">
      <alignment horizontal="center" vertical="distributed" textRotation="255" justifyLastLine="1"/>
    </xf>
    <xf numFmtId="176" fontId="17" fillId="0" borderId="66" xfId="0" applyNumberFormat="1" applyFont="1" applyBorder="1" applyAlignment="1" applyProtection="1">
      <alignment horizontal="center" vertical="center" shrinkToFit="1"/>
      <protection locked="0"/>
    </xf>
    <xf numFmtId="176" fontId="17" fillId="0" borderId="67" xfId="0" applyNumberFormat="1" applyFont="1" applyBorder="1" applyAlignment="1" applyProtection="1">
      <alignment horizontal="center" vertical="center" shrinkToFit="1"/>
      <protection locked="0"/>
    </xf>
    <xf numFmtId="176" fontId="17" fillId="0" borderId="68" xfId="0" applyNumberFormat="1" applyFont="1" applyBorder="1" applyAlignment="1" applyProtection="1">
      <alignment horizontal="center" vertical="center" shrinkToFit="1"/>
      <protection locked="0"/>
    </xf>
    <xf numFmtId="0" fontId="7" fillId="2" borderId="69" xfId="0" applyFont="1" applyFill="1" applyBorder="1" applyAlignment="1">
      <alignment horizontal="distributed" vertical="center" wrapText="1" justifyLastLine="1"/>
    </xf>
    <xf numFmtId="0" fontId="7" fillId="2" borderId="6" xfId="0" applyFont="1" applyFill="1" applyBorder="1" applyAlignment="1">
      <alignment horizontal="distributed" vertical="center" wrapText="1" justifyLastLine="1"/>
    </xf>
    <xf numFmtId="0" fontId="7" fillId="2" borderId="70" xfId="0" applyFont="1" applyFill="1" applyBorder="1" applyAlignment="1">
      <alignment horizontal="distributed" vertical="center" wrapText="1" justifyLastLine="1"/>
    </xf>
    <xf numFmtId="0" fontId="31" fillId="0" borderId="71" xfId="0" applyFont="1" applyBorder="1" applyAlignment="1" applyProtection="1">
      <alignment vertical="center" wrapText="1"/>
      <protection locked="0"/>
    </xf>
    <xf numFmtId="0" fontId="17" fillId="0" borderId="71" xfId="0" applyFont="1" applyBorder="1" applyAlignment="1" applyProtection="1">
      <alignment vertical="center" wrapText="1"/>
      <protection locked="0"/>
    </xf>
    <xf numFmtId="0" fontId="7" fillId="2" borderId="69" xfId="0" applyFont="1" applyFill="1" applyBorder="1" applyAlignment="1">
      <alignment horizontal="distributed" vertical="center" justifyLastLine="1"/>
    </xf>
    <xf numFmtId="0" fontId="7" fillId="2" borderId="6" xfId="0" applyFont="1" applyFill="1" applyBorder="1" applyAlignment="1">
      <alignment horizontal="distributed" vertical="center" justifyLastLine="1"/>
    </xf>
    <xf numFmtId="0" fontId="7" fillId="2" borderId="70" xfId="0" applyFont="1" applyFill="1" applyBorder="1" applyAlignment="1">
      <alignment horizontal="distributed" vertical="center" justifyLastLine="1"/>
    </xf>
    <xf numFmtId="0" fontId="19" fillId="0" borderId="66" xfId="0" applyFont="1" applyBorder="1" applyAlignment="1">
      <alignment horizontal="center" vertical="center"/>
    </xf>
    <xf numFmtId="0" fontId="19" fillId="0" borderId="67" xfId="0" applyFont="1" applyBorder="1" applyAlignment="1">
      <alignment horizontal="center" vertical="center"/>
    </xf>
    <xf numFmtId="0" fontId="19" fillId="0" borderId="68" xfId="0" applyFont="1" applyBorder="1" applyAlignment="1">
      <alignment horizontal="center" vertical="center"/>
    </xf>
    <xf numFmtId="0" fontId="7" fillId="2" borderId="72" xfId="0" applyFont="1" applyFill="1" applyBorder="1" applyAlignment="1">
      <alignment horizontal="distributed" vertical="center" justifyLastLine="1"/>
    </xf>
    <xf numFmtId="0" fontId="9" fillId="0" borderId="0" xfId="0" applyFont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7" fillId="2" borderId="49" xfId="0" applyFont="1" applyFill="1" applyBorder="1" applyAlignment="1">
      <alignment horizontal="distributed" vertical="center" wrapText="1" justifyLastLine="1"/>
    </xf>
    <xf numFmtId="0" fontId="7" fillId="2" borderId="50" xfId="0" applyFont="1" applyFill="1" applyBorder="1" applyAlignment="1">
      <alignment horizontal="distributed" vertical="center" wrapText="1" justifyLastLine="1"/>
    </xf>
    <xf numFmtId="0" fontId="7" fillId="2" borderId="51" xfId="0" applyFont="1" applyFill="1" applyBorder="1" applyAlignment="1">
      <alignment horizontal="distributed" vertical="center" wrapText="1" justifyLastLine="1"/>
    </xf>
    <xf numFmtId="0" fontId="7" fillId="2" borderId="4" xfId="0" applyFont="1" applyFill="1" applyBorder="1" applyAlignment="1">
      <alignment horizontal="distributed" vertical="center" wrapText="1" justifyLastLine="1"/>
    </xf>
    <xf numFmtId="0" fontId="7" fillId="2" borderId="0" xfId="0" applyFont="1" applyFill="1" applyAlignment="1">
      <alignment horizontal="distributed" vertical="center" wrapText="1" justifyLastLine="1"/>
    </xf>
    <xf numFmtId="0" fontId="7" fillId="2" borderId="15" xfId="0" applyFont="1" applyFill="1" applyBorder="1" applyAlignment="1">
      <alignment horizontal="distributed" vertical="center" wrapText="1" justifyLastLine="1"/>
    </xf>
    <xf numFmtId="0" fontId="7" fillId="2" borderId="52" xfId="0" applyFont="1" applyFill="1" applyBorder="1" applyAlignment="1">
      <alignment horizontal="distributed" vertical="center" wrapText="1" justifyLastLine="1"/>
    </xf>
    <xf numFmtId="0" fontId="7" fillId="2" borderId="45" xfId="0" applyFont="1" applyFill="1" applyBorder="1" applyAlignment="1">
      <alignment horizontal="distributed" vertical="center" wrapText="1" justifyLastLine="1"/>
    </xf>
    <xf numFmtId="0" fontId="7" fillId="2" borderId="46" xfId="0" applyFont="1" applyFill="1" applyBorder="1" applyAlignment="1">
      <alignment horizontal="distributed" vertical="center" wrapText="1" justifyLastLine="1"/>
    </xf>
    <xf numFmtId="0" fontId="19" fillId="3" borderId="99" xfId="0" applyFont="1" applyFill="1" applyBorder="1" applyAlignment="1" applyProtection="1">
      <alignment horizontal="center" vertical="center" shrinkToFit="1"/>
      <protection locked="0"/>
    </xf>
    <xf numFmtId="0" fontId="19" fillId="3" borderId="100" xfId="0" applyFont="1" applyFill="1" applyBorder="1" applyAlignment="1" applyProtection="1">
      <alignment horizontal="center" vertical="center" shrinkToFi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20" fillId="0" borderId="53" xfId="0" applyFont="1" applyBorder="1" applyAlignment="1" applyProtection="1">
      <alignment horizontal="distributed" vertical="center" justifyLastLine="1"/>
      <protection locked="0"/>
    </xf>
    <xf numFmtId="0" fontId="19" fillId="0" borderId="50" xfId="0" applyFont="1" applyBorder="1" applyAlignment="1" applyProtection="1">
      <alignment horizontal="distributed" vertical="center" justifyLastLine="1"/>
      <protection locked="0"/>
    </xf>
    <xf numFmtId="0" fontId="19" fillId="0" borderId="51" xfId="0" applyFont="1" applyBorder="1" applyAlignment="1" applyProtection="1">
      <alignment horizontal="distributed" vertical="center" justifyLastLine="1"/>
      <protection locked="0"/>
    </xf>
    <xf numFmtId="0" fontId="19" fillId="0" borderId="14" xfId="0" applyFont="1" applyBorder="1" applyAlignment="1" applyProtection="1">
      <alignment horizontal="distributed" vertical="center" justifyLastLine="1"/>
      <protection locked="0"/>
    </xf>
    <xf numFmtId="0" fontId="19" fillId="0" borderId="0" xfId="0" applyFont="1" applyAlignment="1" applyProtection="1">
      <alignment horizontal="distributed" vertical="center" justifyLastLine="1"/>
      <protection locked="0"/>
    </xf>
    <xf numFmtId="0" fontId="19" fillId="0" borderId="15" xfId="0" applyFont="1" applyBorder="1" applyAlignment="1" applyProtection="1">
      <alignment horizontal="distributed" vertical="center" justifyLastLine="1"/>
      <protection locked="0"/>
    </xf>
    <xf numFmtId="178" fontId="7" fillId="2" borderId="53" xfId="0" applyNumberFormat="1" applyFont="1" applyFill="1" applyBorder="1" applyAlignment="1">
      <alignment horizontal="distributed" vertical="center" justifyLastLine="1"/>
    </xf>
    <xf numFmtId="178" fontId="7" fillId="2" borderId="50" xfId="0" applyNumberFormat="1" applyFont="1" applyFill="1" applyBorder="1" applyAlignment="1">
      <alignment horizontal="distributed" vertical="center" justifyLastLine="1"/>
    </xf>
    <xf numFmtId="178" fontId="7" fillId="2" borderId="51" xfId="0" applyNumberFormat="1" applyFont="1" applyFill="1" applyBorder="1" applyAlignment="1">
      <alignment horizontal="distributed" vertical="center" justifyLastLine="1"/>
    </xf>
    <xf numFmtId="178" fontId="7" fillId="2" borderId="14" xfId="0" applyNumberFormat="1" applyFont="1" applyFill="1" applyBorder="1" applyAlignment="1">
      <alignment horizontal="distributed" vertical="center" justifyLastLine="1"/>
    </xf>
    <xf numFmtId="178" fontId="7" fillId="2" borderId="0" xfId="0" applyNumberFormat="1" applyFont="1" applyFill="1" applyAlignment="1">
      <alignment horizontal="distributed" vertical="center" justifyLastLine="1"/>
    </xf>
    <xf numFmtId="178" fontId="7" fillId="2" borderId="15" xfId="0" applyNumberFormat="1" applyFont="1" applyFill="1" applyBorder="1" applyAlignment="1">
      <alignment horizontal="distributed" vertical="center" justifyLastLine="1"/>
    </xf>
    <xf numFmtId="0" fontId="7" fillId="2" borderId="14" xfId="0" applyFont="1" applyFill="1" applyBorder="1" applyAlignment="1">
      <alignment horizontal="distributed" vertical="center" justifyLastLine="1"/>
    </xf>
    <xf numFmtId="0" fontId="7" fillId="2" borderId="0" xfId="0" applyFont="1" applyFill="1" applyAlignment="1">
      <alignment horizontal="distributed" vertical="center" justifyLastLine="1"/>
    </xf>
    <xf numFmtId="0" fontId="7" fillId="2" borderId="15" xfId="0" applyFont="1" applyFill="1" applyBorder="1" applyAlignment="1">
      <alignment horizontal="distributed" vertical="center" justifyLastLine="1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42" xfId="0" applyFont="1" applyBorder="1" applyAlignment="1" applyProtection="1">
      <alignment horizontal="center" vertical="center"/>
      <protection locked="0"/>
    </xf>
    <xf numFmtId="0" fontId="19" fillId="0" borderId="5" xfId="0" applyFont="1" applyBorder="1" applyAlignment="1" applyProtection="1">
      <alignment horizontal="center" vertical="center"/>
      <protection locked="0"/>
    </xf>
    <xf numFmtId="0" fontId="19" fillId="3" borderId="14" xfId="0" applyFont="1" applyFill="1" applyBorder="1" applyAlignment="1" applyProtection="1">
      <alignment horizontal="center" vertical="center" shrinkToFit="1"/>
      <protection locked="0"/>
    </xf>
    <xf numFmtId="0" fontId="19" fillId="3" borderId="0" xfId="0" applyFont="1" applyFill="1" applyAlignment="1" applyProtection="1">
      <alignment horizontal="center" vertical="center" shrinkToFit="1"/>
      <protection locked="0"/>
    </xf>
    <xf numFmtId="0" fontId="19" fillId="3" borderId="44" xfId="0" applyFont="1" applyFill="1" applyBorder="1" applyAlignment="1" applyProtection="1">
      <alignment horizontal="center" vertical="center" shrinkToFit="1"/>
      <protection locked="0"/>
    </xf>
    <xf numFmtId="0" fontId="19" fillId="3" borderId="45" xfId="0" applyFont="1" applyFill="1" applyBorder="1" applyAlignment="1" applyProtection="1">
      <alignment horizontal="center" vertical="center" shrinkToFit="1"/>
      <protection locked="0"/>
    </xf>
    <xf numFmtId="0" fontId="7" fillId="2" borderId="80" xfId="0" applyFont="1" applyFill="1" applyBorder="1" applyAlignment="1">
      <alignment horizontal="center" vertical="center" textRotation="255"/>
    </xf>
    <xf numFmtId="0" fontId="7" fillId="2" borderId="40" xfId="0" applyFont="1" applyFill="1" applyBorder="1" applyAlignment="1">
      <alignment horizontal="center" vertical="center" textRotation="255"/>
    </xf>
    <xf numFmtId="0" fontId="7" fillId="2" borderId="81" xfId="0" applyFont="1" applyFill="1" applyBorder="1" applyAlignment="1">
      <alignment horizontal="center" vertical="center" textRotation="255"/>
    </xf>
    <xf numFmtId="0" fontId="14" fillId="0" borderId="0" xfId="0" applyFont="1" applyAlignment="1">
      <alignment horizontal="center" vertical="center" wrapText="1" justifyLastLine="1"/>
    </xf>
    <xf numFmtId="0" fontId="14" fillId="0" borderId="3" xfId="0" applyFont="1" applyBorder="1" applyAlignment="1">
      <alignment horizontal="center" vertical="center" wrapText="1" justifyLastLine="1"/>
    </xf>
    <xf numFmtId="0" fontId="14" fillId="0" borderId="0" xfId="0" applyFont="1" applyAlignment="1">
      <alignment horizontal="distributed" vertical="center" wrapText="1" justifyLastLine="1"/>
    </xf>
    <xf numFmtId="0" fontId="0" fillId="0" borderId="0" xfId="0" applyAlignment="1">
      <alignment horizontal="distributed" vertical="center" wrapText="1" justifyLastLine="1"/>
    </xf>
    <xf numFmtId="0" fontId="0" fillId="0" borderId="3" xfId="0" applyBorder="1" applyAlignment="1">
      <alignment horizontal="distributed" vertical="center" wrapText="1" justifyLastLine="1"/>
    </xf>
    <xf numFmtId="0" fontId="0" fillId="0" borderId="50" xfId="0" applyBorder="1" applyAlignment="1">
      <alignment horizontal="distributed" vertical="center" justifyLastLine="1"/>
    </xf>
    <xf numFmtId="0" fontId="0" fillId="0" borderId="54" xfId="0" applyBorder="1" applyAlignment="1">
      <alignment horizontal="distributed" vertical="center" justifyLastLine="1"/>
    </xf>
    <xf numFmtId="0" fontId="0" fillId="0" borderId="44" xfId="0" applyBorder="1" applyAlignment="1">
      <alignment horizontal="distributed" vertical="center" justifyLastLine="1"/>
    </xf>
    <xf numFmtId="0" fontId="0" fillId="0" borderId="45" xfId="0" applyBorder="1" applyAlignment="1">
      <alignment horizontal="distributed" vertical="center" justifyLastLine="1"/>
    </xf>
    <xf numFmtId="0" fontId="0" fillId="0" borderId="55" xfId="0" applyBorder="1" applyAlignment="1">
      <alignment horizontal="distributed" vertical="center" justifyLastLine="1"/>
    </xf>
    <xf numFmtId="0" fontId="8" fillId="0" borderId="99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20" fillId="0" borderId="82" xfId="0" applyFont="1" applyBorder="1" applyAlignment="1" applyProtection="1">
      <alignment horizontal="center" vertical="center" justifyLastLine="1"/>
      <protection locked="0"/>
    </xf>
    <xf numFmtId="0" fontId="20" fillId="0" borderId="83" xfId="0" applyFont="1" applyBorder="1" applyAlignment="1" applyProtection="1">
      <alignment horizontal="center" vertical="center" justifyLastLine="1"/>
      <protection locked="0"/>
    </xf>
    <xf numFmtId="0" fontId="20" fillId="0" borderId="84" xfId="0" applyFont="1" applyBorder="1" applyAlignment="1" applyProtection="1">
      <alignment horizontal="center" vertical="center" justifyLastLine="1"/>
      <protection locked="0"/>
    </xf>
    <xf numFmtId="0" fontId="20" fillId="0" borderId="14" xfId="0" applyFont="1" applyBorder="1" applyAlignment="1" applyProtection="1">
      <alignment horizontal="center" vertical="center" justifyLastLine="1"/>
      <protection locked="0"/>
    </xf>
    <xf numFmtId="0" fontId="20" fillId="0" borderId="0" xfId="0" applyFont="1" applyAlignment="1" applyProtection="1">
      <alignment horizontal="center" vertical="center" justifyLastLine="1"/>
      <protection locked="0"/>
    </xf>
    <xf numFmtId="0" fontId="20" fillId="0" borderId="15" xfId="0" applyFont="1" applyBorder="1" applyAlignment="1" applyProtection="1">
      <alignment horizontal="center" vertical="center" justifyLastLine="1"/>
      <protection locked="0"/>
    </xf>
    <xf numFmtId="0" fontId="20" fillId="0" borderId="44" xfId="0" applyFont="1" applyBorder="1" applyAlignment="1" applyProtection="1">
      <alignment horizontal="center" vertical="center" justifyLastLine="1"/>
      <protection locked="0"/>
    </xf>
    <xf numFmtId="0" fontId="20" fillId="0" borderId="45" xfId="0" applyFont="1" applyBorder="1" applyAlignment="1" applyProtection="1">
      <alignment horizontal="center" vertical="center" justifyLastLine="1"/>
      <protection locked="0"/>
    </xf>
    <xf numFmtId="0" fontId="20" fillId="0" borderId="46" xfId="0" applyFont="1" applyBorder="1" applyAlignment="1" applyProtection="1">
      <alignment horizontal="center" vertical="center" justifyLastLine="1"/>
      <protection locked="0"/>
    </xf>
    <xf numFmtId="0" fontId="12" fillId="0" borderId="0" xfId="0" applyFont="1" applyAlignment="1">
      <alignment horizontal="distributed" wrapText="1"/>
    </xf>
    <xf numFmtId="0" fontId="0" fillId="0" borderId="0" xfId="0" applyAlignment="1">
      <alignment horizontal="distributed"/>
    </xf>
    <xf numFmtId="0" fontId="0" fillId="0" borderId="3" xfId="0" applyBorder="1" applyAlignment="1">
      <alignment horizontal="distributed"/>
    </xf>
    <xf numFmtId="0" fontId="2" fillId="0" borderId="12" xfId="0" applyFont="1" applyBorder="1" applyAlignment="1" applyProtection="1">
      <alignment vertical="center" wrapText="1" shrinkToFit="1"/>
      <protection locked="0"/>
    </xf>
    <xf numFmtId="0" fontId="2" fillId="0" borderId="8" xfId="0" applyFont="1" applyBorder="1" applyAlignment="1" applyProtection="1">
      <alignment vertical="center" wrapText="1" shrinkToFit="1"/>
      <protection locked="0"/>
    </xf>
    <xf numFmtId="0" fontId="2" fillId="0" borderId="9" xfId="0" applyFont="1" applyBorder="1" applyAlignment="1" applyProtection="1">
      <alignment vertical="center" wrapText="1" shrinkToFit="1"/>
      <protection locked="0"/>
    </xf>
    <xf numFmtId="0" fontId="2" fillId="0" borderId="14" xfId="0" applyFont="1" applyBorder="1" applyAlignment="1" applyProtection="1">
      <alignment vertical="center" wrapText="1" shrinkToFit="1"/>
      <protection locked="0"/>
    </xf>
    <xf numFmtId="0" fontId="2" fillId="0" borderId="0" xfId="0" applyFont="1" applyAlignment="1" applyProtection="1">
      <alignment vertical="center" wrapText="1" shrinkToFit="1"/>
      <protection locked="0"/>
    </xf>
    <xf numFmtId="0" fontId="2" fillId="0" borderId="10" xfId="0" applyFont="1" applyBorder="1" applyAlignment="1" applyProtection="1">
      <alignment vertical="center" wrapText="1" shrinkToFit="1"/>
      <protection locked="0"/>
    </xf>
    <xf numFmtId="0" fontId="2" fillId="0" borderId="44" xfId="0" applyFont="1" applyBorder="1" applyAlignment="1" applyProtection="1">
      <alignment vertical="center" wrapText="1" shrinkToFit="1"/>
      <protection locked="0"/>
    </xf>
    <xf numFmtId="0" fontId="2" fillId="0" borderId="45" xfId="0" applyFont="1" applyBorder="1" applyAlignment="1" applyProtection="1">
      <alignment vertical="center" wrapText="1" shrinkToFit="1"/>
      <protection locked="0"/>
    </xf>
    <xf numFmtId="0" fontId="2" fillId="0" borderId="55" xfId="0" applyFont="1" applyBorder="1" applyAlignment="1" applyProtection="1">
      <alignment vertical="center" wrapText="1" shrinkToFit="1"/>
      <protection locked="0"/>
    </xf>
    <xf numFmtId="0" fontId="7" fillId="2" borderId="12" xfId="0" applyFont="1" applyFill="1" applyBorder="1" applyAlignment="1">
      <alignment horizontal="distributed" vertical="center" wrapText="1" justifyLastLine="1"/>
    </xf>
    <xf numFmtId="0" fontId="7" fillId="2" borderId="8" xfId="0" applyFont="1" applyFill="1" applyBorder="1" applyAlignment="1">
      <alignment horizontal="distributed" vertical="center" justifyLastLine="1"/>
    </xf>
    <xf numFmtId="0" fontId="7" fillId="2" borderId="16" xfId="0" applyFont="1" applyFill="1" applyBorder="1" applyAlignment="1">
      <alignment horizontal="distributed" vertical="center" justifyLastLine="1"/>
    </xf>
    <xf numFmtId="0" fontId="7" fillId="2" borderId="3" xfId="0" applyFont="1" applyFill="1" applyBorder="1" applyAlignment="1">
      <alignment horizontal="distributed" vertical="center" justifyLastLine="1"/>
    </xf>
    <xf numFmtId="0" fontId="7" fillId="2" borderId="17" xfId="0" applyFont="1" applyFill="1" applyBorder="1" applyAlignment="1">
      <alignment horizontal="distributed" vertical="center" justifyLastLine="1"/>
    </xf>
    <xf numFmtId="0" fontId="7" fillId="2" borderId="74" xfId="0" applyFont="1" applyFill="1" applyBorder="1" applyAlignment="1">
      <alignment horizontal="distributed" vertical="center" justifyLastLine="1"/>
    </xf>
    <xf numFmtId="0" fontId="7" fillId="2" borderId="75" xfId="0" applyFont="1" applyFill="1" applyBorder="1" applyAlignment="1">
      <alignment horizontal="distributed" vertical="center" justifyLastLine="1"/>
    </xf>
    <xf numFmtId="0" fontId="7" fillId="2" borderId="76" xfId="0" applyFont="1" applyFill="1" applyBorder="1" applyAlignment="1">
      <alignment horizontal="distributed" vertical="center" justifyLastLine="1"/>
    </xf>
    <xf numFmtId="0" fontId="7" fillId="2" borderId="77" xfId="0" applyFont="1" applyFill="1" applyBorder="1" applyAlignment="1">
      <alignment horizontal="distributed" vertical="center" justifyLastLine="1"/>
    </xf>
    <xf numFmtId="0" fontId="7" fillId="2" borderId="78" xfId="0" applyFont="1" applyFill="1" applyBorder="1" applyAlignment="1">
      <alignment horizontal="distributed" vertical="center" justifyLastLine="1"/>
    </xf>
    <xf numFmtId="0" fontId="7" fillId="2" borderId="79" xfId="0" applyFont="1" applyFill="1" applyBorder="1" applyAlignment="1">
      <alignment horizontal="distributed" vertical="center" justifyLastLine="1"/>
    </xf>
    <xf numFmtId="178" fontId="19" fillId="0" borderId="12" xfId="0" applyNumberFormat="1" applyFont="1" applyBorder="1" applyAlignment="1" applyProtection="1">
      <alignment horizontal="center" vertical="center"/>
      <protection locked="0"/>
    </xf>
    <xf numFmtId="178" fontId="19" fillId="0" borderId="8" xfId="0" applyNumberFormat="1" applyFont="1" applyBorder="1" applyAlignment="1" applyProtection="1">
      <alignment horizontal="center" vertical="center"/>
      <protection locked="0"/>
    </xf>
    <xf numFmtId="178" fontId="19" fillId="0" borderId="13" xfId="0" applyNumberFormat="1" applyFont="1" applyBorder="1" applyAlignment="1" applyProtection="1">
      <alignment horizontal="center" vertical="center"/>
      <protection locked="0"/>
    </xf>
    <xf numFmtId="178" fontId="19" fillId="0" borderId="14" xfId="0" applyNumberFormat="1" applyFont="1" applyBorder="1" applyAlignment="1" applyProtection="1">
      <alignment horizontal="center" vertical="center"/>
      <protection locked="0"/>
    </xf>
    <xf numFmtId="178" fontId="19" fillId="0" borderId="0" xfId="0" applyNumberFormat="1" applyFont="1" applyAlignment="1" applyProtection="1">
      <alignment horizontal="center" vertical="center"/>
      <protection locked="0"/>
    </xf>
    <xf numFmtId="178" fontId="19" fillId="0" borderId="15" xfId="0" applyNumberFormat="1" applyFont="1" applyBorder="1" applyAlignment="1" applyProtection="1">
      <alignment horizontal="center" vertical="center"/>
      <protection locked="0"/>
    </xf>
    <xf numFmtId="178" fontId="19" fillId="0" borderId="44" xfId="0" applyNumberFormat="1" applyFont="1" applyBorder="1" applyAlignment="1" applyProtection="1">
      <alignment horizontal="center" vertical="center"/>
      <protection locked="0"/>
    </xf>
    <xf numFmtId="178" fontId="19" fillId="0" borderId="45" xfId="0" applyNumberFormat="1" applyFont="1" applyBorder="1" applyAlignment="1" applyProtection="1">
      <alignment horizontal="center" vertical="center"/>
      <protection locked="0"/>
    </xf>
    <xf numFmtId="178" fontId="19" fillId="0" borderId="46" xfId="0" applyNumberFormat="1" applyFont="1" applyBorder="1" applyAlignment="1" applyProtection="1">
      <alignment horizontal="center" vertical="center"/>
      <protection locked="0"/>
    </xf>
    <xf numFmtId="0" fontId="7" fillId="2" borderId="73" xfId="0" applyFont="1" applyFill="1" applyBorder="1" applyAlignment="1">
      <alignment horizontal="distributed" vertical="center" justifyLastLine="1"/>
    </xf>
    <xf numFmtId="0" fontId="7" fillId="2" borderId="7" xfId="0" applyFont="1" applyFill="1" applyBorder="1" applyAlignment="1">
      <alignment horizontal="distributed" vertical="center" justifyLastLine="1"/>
    </xf>
    <xf numFmtId="0" fontId="13" fillId="0" borderId="0" xfId="0" applyFont="1" applyAlignment="1">
      <alignment horizontal="right"/>
    </xf>
    <xf numFmtId="0" fontId="13" fillId="0" borderId="45" xfId="0" applyFont="1" applyBorder="1" applyAlignment="1">
      <alignment horizontal="right"/>
    </xf>
    <xf numFmtId="0" fontId="23" fillId="0" borderId="42" xfId="0" applyFont="1" applyBorder="1" applyAlignment="1" applyProtection="1">
      <alignment vertical="center" wrapText="1"/>
      <protection locked="0"/>
    </xf>
    <xf numFmtId="0" fontId="23" fillId="0" borderId="5" xfId="0" applyFont="1" applyBorder="1" applyAlignment="1" applyProtection="1">
      <alignment vertical="center" wrapText="1"/>
      <protection locked="0"/>
    </xf>
    <xf numFmtId="176" fontId="17" fillId="0" borderId="87" xfId="0" applyNumberFormat="1" applyFont="1" applyBorder="1" applyAlignment="1" applyProtection="1">
      <alignment horizontal="center" vertical="center" shrinkToFit="1"/>
      <protection locked="0"/>
    </xf>
    <xf numFmtId="176" fontId="17" fillId="0" borderId="88" xfId="0" applyNumberFormat="1" applyFont="1" applyBorder="1" applyAlignment="1" applyProtection="1">
      <alignment horizontal="center" vertical="center" shrinkToFit="1"/>
      <protection locked="0"/>
    </xf>
    <xf numFmtId="176" fontId="17" fillId="0" borderId="89" xfId="0" applyNumberFormat="1" applyFont="1" applyBorder="1" applyAlignment="1" applyProtection="1">
      <alignment horizontal="center" vertical="center" shrinkToFit="1"/>
      <protection locked="0"/>
    </xf>
    <xf numFmtId="0" fontId="19" fillId="0" borderId="87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7" fillId="0" borderId="90" xfId="0" applyFont="1" applyBorder="1" applyAlignment="1" applyProtection="1">
      <alignment vertical="center" wrapText="1"/>
      <protection locked="0"/>
    </xf>
    <xf numFmtId="0" fontId="33" fillId="0" borderId="39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32" fillId="0" borderId="94" xfId="0" applyFont="1" applyBorder="1" applyAlignment="1">
      <alignment horizontal="center" vertical="center"/>
    </xf>
    <xf numFmtId="0" fontId="17" fillId="0" borderId="95" xfId="0" applyFont="1" applyBorder="1" applyAlignment="1" applyProtection="1">
      <alignment vertical="center" wrapText="1"/>
      <protection locked="0"/>
    </xf>
    <xf numFmtId="0" fontId="15" fillId="0" borderId="91" xfId="0" applyFont="1" applyBorder="1" applyAlignment="1" applyProtection="1">
      <alignment horizontal="center" vertical="center"/>
      <protection locked="0"/>
    </xf>
    <xf numFmtId="0" fontId="15" fillId="0" borderId="92" xfId="0" applyFont="1" applyBorder="1" applyAlignment="1" applyProtection="1">
      <alignment horizontal="center" vertical="center"/>
      <protection locked="0"/>
    </xf>
    <xf numFmtId="176" fontId="17" fillId="0" borderId="16" xfId="0" applyNumberFormat="1" applyFont="1" applyBorder="1" applyAlignment="1" applyProtection="1">
      <alignment horizontal="center" vertical="center" shrinkToFit="1"/>
      <protection locked="0"/>
    </xf>
    <xf numFmtId="176" fontId="17" fillId="0" borderId="3" xfId="0" applyNumberFormat="1" applyFont="1" applyBorder="1" applyAlignment="1" applyProtection="1">
      <alignment horizontal="center" vertical="center" shrinkToFit="1"/>
      <protection locked="0"/>
    </xf>
    <xf numFmtId="176" fontId="17" fillId="0" borderId="17" xfId="0" applyNumberFormat="1" applyFont="1" applyBorder="1" applyAlignment="1" applyProtection="1">
      <alignment horizontal="center" vertical="center" shrinkToFit="1"/>
      <protection locked="0"/>
    </xf>
    <xf numFmtId="0" fontId="17" fillId="0" borderId="1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8" fillId="0" borderId="96" xfId="0" applyFont="1" applyBorder="1" applyAlignment="1" applyProtection="1">
      <alignment horizontal="left" vertical="center" shrinkToFit="1"/>
      <protection locked="0"/>
    </xf>
    <xf numFmtId="0" fontId="18" fillId="0" borderId="97" xfId="0" applyFont="1" applyBorder="1" applyAlignment="1" applyProtection="1">
      <alignment horizontal="left" vertical="center" shrinkToFit="1"/>
      <protection locked="0"/>
    </xf>
    <xf numFmtId="0" fontId="18" fillId="0" borderId="98" xfId="0" applyFont="1" applyBorder="1" applyAlignment="1" applyProtection="1">
      <alignment horizontal="left" vertical="center" shrinkToFit="1"/>
      <protection locked="0"/>
    </xf>
    <xf numFmtId="0" fontId="15" fillId="0" borderId="93" xfId="0" applyFont="1" applyBorder="1" applyAlignment="1" applyProtection="1">
      <alignment horizontal="center" vertical="center"/>
      <protection locked="0"/>
    </xf>
  </cellXfs>
  <cellStyles count="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標準" xfId="0" builtinId="0"/>
  </cellStyles>
  <dxfs count="6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104775</xdr:colOff>
      <xdr:row>105</xdr:row>
      <xdr:rowOff>19050</xdr:rowOff>
    </xdr:from>
    <xdr:to>
      <xdr:col>21</xdr:col>
      <xdr:colOff>28575</xdr:colOff>
      <xdr:row>105</xdr:row>
      <xdr:rowOff>295276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F4B87E3-51B9-409A-A745-64EB5C2E8AC6}"/>
            </a:ext>
          </a:extLst>
        </xdr:cNvPr>
        <xdr:cNvSpPr/>
      </xdr:nvSpPr>
      <xdr:spPr>
        <a:xfrm>
          <a:off x="2188845" y="14931390"/>
          <a:ext cx="266700" cy="259081"/>
        </a:xfrm>
        <a:prstGeom prst="ellipse">
          <a:avLst/>
        </a:prstGeom>
        <a:solidFill>
          <a:srgbClr val="FFCC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85725</xdr:colOff>
      <xdr:row>104</xdr:row>
      <xdr:rowOff>28575</xdr:rowOff>
    </xdr:from>
    <xdr:to>
      <xdr:col>21</xdr:col>
      <xdr:colOff>104775</xdr:colOff>
      <xdr:row>106</xdr:row>
      <xdr:rowOff>57151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CF587C0-58E5-4776-B1F6-106070248C03}"/>
            </a:ext>
          </a:extLst>
        </xdr:cNvPr>
        <xdr:cNvSpPr txBox="1"/>
      </xdr:nvSpPr>
      <xdr:spPr>
        <a:xfrm>
          <a:off x="2173605" y="14866620"/>
          <a:ext cx="358140" cy="3790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S</a:t>
          </a:r>
          <a:endParaRPr kumimoji="1" lang="ja-JP" altLang="en-US" sz="2000" b="1"/>
        </a:p>
      </xdr:txBody>
    </xdr:sp>
    <xdr:clientData/>
  </xdr:twoCellAnchor>
  <xdr:twoCellAnchor>
    <xdr:from>
      <xdr:col>53</xdr:col>
      <xdr:colOff>8739</xdr:colOff>
      <xdr:row>104</xdr:row>
      <xdr:rowOff>53340</xdr:rowOff>
    </xdr:from>
    <xdr:to>
      <xdr:col>54</xdr:col>
      <xdr:colOff>46840</xdr:colOff>
      <xdr:row>106</xdr:row>
      <xdr:rowOff>0</xdr:rowOff>
    </xdr:to>
    <xdr:sp macro="" textlink="">
      <xdr:nvSpPr>
        <xdr:cNvPr id="4" name="二等辺三角形 3">
          <a:extLst>
            <a:ext uri="{FF2B5EF4-FFF2-40B4-BE49-F238E27FC236}">
              <a16:creationId xmlns:a16="http://schemas.microsoft.com/office/drawing/2014/main" id="{ACC802B4-1946-4F7D-A745-18FEC7E1E09A}"/>
            </a:ext>
          </a:extLst>
        </xdr:cNvPr>
        <xdr:cNvSpPr/>
      </xdr:nvSpPr>
      <xdr:spPr>
        <a:xfrm>
          <a:off x="6182844" y="14897100"/>
          <a:ext cx="180976" cy="295275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75660</xdr:colOff>
      <xdr:row>106</xdr:row>
      <xdr:rowOff>17144</xdr:rowOff>
    </xdr:from>
    <xdr:to>
      <xdr:col>54</xdr:col>
      <xdr:colOff>118315</xdr:colOff>
      <xdr:row>107</xdr:row>
      <xdr:rowOff>22859</xdr:rowOff>
    </xdr:to>
    <xdr:sp macro="" textlink="">
      <xdr:nvSpPr>
        <xdr:cNvPr id="5" name="台形 4">
          <a:extLst>
            <a:ext uri="{FF2B5EF4-FFF2-40B4-BE49-F238E27FC236}">
              <a16:creationId xmlns:a16="http://schemas.microsoft.com/office/drawing/2014/main" id="{7EA4B48D-D6BB-4F55-A03D-2C7E8F514DE0}"/>
            </a:ext>
          </a:extLst>
        </xdr:cNvPr>
        <xdr:cNvSpPr/>
      </xdr:nvSpPr>
      <xdr:spPr>
        <a:xfrm>
          <a:off x="6104985" y="15213329"/>
          <a:ext cx="330310" cy="321945"/>
        </a:xfrm>
        <a:prstGeom prst="trapezoid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152401</xdr:colOff>
      <xdr:row>107</xdr:row>
      <xdr:rowOff>19050</xdr:rowOff>
    </xdr:from>
    <xdr:to>
      <xdr:col>55</xdr:col>
      <xdr:colOff>57151</xdr:colOff>
      <xdr:row>108</xdr:row>
      <xdr:rowOff>0</xdr:rowOff>
    </xdr:to>
    <xdr:sp macro="" textlink="">
      <xdr:nvSpPr>
        <xdr:cNvPr id="6" name="台形 5">
          <a:extLst>
            <a:ext uri="{FF2B5EF4-FFF2-40B4-BE49-F238E27FC236}">
              <a16:creationId xmlns:a16="http://schemas.microsoft.com/office/drawing/2014/main" id="{9153EE7F-5049-409B-9352-E678878CF738}"/>
            </a:ext>
          </a:extLst>
        </xdr:cNvPr>
        <xdr:cNvSpPr/>
      </xdr:nvSpPr>
      <xdr:spPr>
        <a:xfrm>
          <a:off x="6029326" y="15531465"/>
          <a:ext cx="481965" cy="308610"/>
        </a:xfrm>
        <a:prstGeom prst="trapezoid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66674</xdr:colOff>
      <xdr:row>107</xdr:row>
      <xdr:rowOff>323849</xdr:rowOff>
    </xdr:from>
    <xdr:to>
      <xdr:col>55</xdr:col>
      <xdr:colOff>152400</xdr:colOff>
      <xdr:row>109</xdr:row>
      <xdr:rowOff>9524</xdr:rowOff>
    </xdr:to>
    <xdr:sp macro="" textlink="">
      <xdr:nvSpPr>
        <xdr:cNvPr id="7" name="台形 6">
          <a:extLst>
            <a:ext uri="{FF2B5EF4-FFF2-40B4-BE49-F238E27FC236}">
              <a16:creationId xmlns:a16="http://schemas.microsoft.com/office/drawing/2014/main" id="{59099630-52F1-46FA-8DF8-1213CBC73096}"/>
            </a:ext>
          </a:extLst>
        </xdr:cNvPr>
        <xdr:cNvSpPr/>
      </xdr:nvSpPr>
      <xdr:spPr>
        <a:xfrm>
          <a:off x="5951219" y="15843884"/>
          <a:ext cx="649606" cy="331470"/>
        </a:xfrm>
        <a:prstGeom prst="trapezoid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95249</xdr:colOff>
      <xdr:row>108</xdr:row>
      <xdr:rowOff>323849</xdr:rowOff>
    </xdr:from>
    <xdr:to>
      <xdr:col>56</xdr:col>
      <xdr:colOff>95250</xdr:colOff>
      <xdr:row>110</xdr:row>
      <xdr:rowOff>28575</xdr:rowOff>
    </xdr:to>
    <xdr:sp macro="" textlink="">
      <xdr:nvSpPr>
        <xdr:cNvPr id="8" name="台形 7">
          <a:extLst>
            <a:ext uri="{FF2B5EF4-FFF2-40B4-BE49-F238E27FC236}">
              <a16:creationId xmlns:a16="http://schemas.microsoft.com/office/drawing/2014/main" id="{32CD1BFC-9F09-457D-8F28-A9E4974D7C1C}"/>
            </a:ext>
          </a:extLst>
        </xdr:cNvPr>
        <xdr:cNvSpPr/>
      </xdr:nvSpPr>
      <xdr:spPr>
        <a:xfrm>
          <a:off x="5871209" y="16167734"/>
          <a:ext cx="821056" cy="375286"/>
        </a:xfrm>
        <a:prstGeom prst="trapezoid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66675</xdr:colOff>
      <xdr:row>104</xdr:row>
      <xdr:rowOff>19050</xdr:rowOff>
    </xdr:from>
    <xdr:to>
      <xdr:col>51</xdr:col>
      <xdr:colOff>47625</xdr:colOff>
      <xdr:row>106</xdr:row>
      <xdr:rowOff>28575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E298179-1D54-497E-98BD-FA9965A2D7FD}"/>
            </a:ext>
          </a:extLst>
        </xdr:cNvPr>
        <xdr:cNvSpPr txBox="1"/>
      </xdr:nvSpPr>
      <xdr:spPr>
        <a:xfrm>
          <a:off x="5379720" y="14855190"/>
          <a:ext cx="556260" cy="363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3</a:t>
          </a:r>
          <a:r>
            <a:rPr kumimoji="1" lang="ja-JP" altLang="en-US" sz="1100"/>
            <a:t>％</a:t>
          </a:r>
        </a:p>
      </xdr:txBody>
    </xdr:sp>
    <xdr:clientData/>
  </xdr:twoCellAnchor>
  <xdr:twoCellAnchor>
    <xdr:from>
      <xdr:col>46</xdr:col>
      <xdr:colOff>66675</xdr:colOff>
      <xdr:row>105</xdr:row>
      <xdr:rowOff>304800</xdr:rowOff>
    </xdr:from>
    <xdr:to>
      <xdr:col>51</xdr:col>
      <xdr:colOff>47625</xdr:colOff>
      <xdr:row>107</xdr:row>
      <xdr:rowOff>66675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6B745C89-952A-42E0-A522-E286A67F25E2}"/>
            </a:ext>
          </a:extLst>
        </xdr:cNvPr>
        <xdr:cNvSpPr txBox="1"/>
      </xdr:nvSpPr>
      <xdr:spPr>
        <a:xfrm>
          <a:off x="5379720" y="15192375"/>
          <a:ext cx="556260" cy="388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7</a:t>
          </a:r>
          <a:r>
            <a:rPr kumimoji="1" lang="ja-JP" altLang="en-US" sz="1100"/>
            <a:t>％</a:t>
          </a:r>
        </a:p>
      </xdr:txBody>
    </xdr:sp>
    <xdr:clientData/>
  </xdr:twoCellAnchor>
  <xdr:twoCellAnchor>
    <xdr:from>
      <xdr:col>45</xdr:col>
      <xdr:colOff>66675</xdr:colOff>
      <xdr:row>106</xdr:row>
      <xdr:rowOff>314325</xdr:rowOff>
    </xdr:from>
    <xdr:to>
      <xdr:col>51</xdr:col>
      <xdr:colOff>114300</xdr:colOff>
      <xdr:row>108</xdr:row>
      <xdr:rowOff>76200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6748A4F-B01C-4492-AF42-64FB77F13FEE}"/>
            </a:ext>
          </a:extLst>
        </xdr:cNvPr>
        <xdr:cNvSpPr txBox="1"/>
      </xdr:nvSpPr>
      <xdr:spPr>
        <a:xfrm>
          <a:off x="5265420" y="15508605"/>
          <a:ext cx="735330" cy="407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17</a:t>
          </a:r>
          <a:r>
            <a:rPr kumimoji="1" lang="ja-JP" altLang="en-US" sz="1100"/>
            <a:t>％</a:t>
          </a:r>
        </a:p>
      </xdr:txBody>
    </xdr:sp>
    <xdr:clientData/>
  </xdr:twoCellAnchor>
  <xdr:twoCellAnchor>
    <xdr:from>
      <xdr:col>45</xdr:col>
      <xdr:colOff>66675</xdr:colOff>
      <xdr:row>107</xdr:row>
      <xdr:rowOff>314325</xdr:rowOff>
    </xdr:from>
    <xdr:to>
      <xdr:col>52</xdr:col>
      <xdr:colOff>28575</xdr:colOff>
      <xdr:row>109</xdr:row>
      <xdr:rowOff>76200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6C3EFA32-B1F9-4000-BC1E-83CB261AF06B}"/>
            </a:ext>
          </a:extLst>
        </xdr:cNvPr>
        <xdr:cNvSpPr txBox="1"/>
      </xdr:nvSpPr>
      <xdr:spPr>
        <a:xfrm>
          <a:off x="5265420" y="15832455"/>
          <a:ext cx="790575" cy="407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23</a:t>
          </a:r>
          <a:r>
            <a:rPr kumimoji="1" lang="ja-JP" altLang="en-US" sz="1100"/>
            <a:t>％</a:t>
          </a:r>
        </a:p>
      </xdr:txBody>
    </xdr:sp>
    <xdr:clientData/>
  </xdr:twoCellAnchor>
  <xdr:twoCellAnchor>
    <xdr:from>
      <xdr:col>45</xdr:col>
      <xdr:colOff>47625</xdr:colOff>
      <xdr:row>108</xdr:row>
      <xdr:rowOff>295275</xdr:rowOff>
    </xdr:from>
    <xdr:to>
      <xdr:col>51</xdr:col>
      <xdr:colOff>152400</xdr:colOff>
      <xdr:row>110</xdr:row>
      <xdr:rowOff>28575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13DA976A-8EF4-43FE-A143-8301F9CB15D8}"/>
            </a:ext>
          </a:extLst>
        </xdr:cNvPr>
        <xdr:cNvSpPr txBox="1"/>
      </xdr:nvSpPr>
      <xdr:spPr>
        <a:xfrm>
          <a:off x="5250180" y="16133445"/>
          <a:ext cx="77914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50</a:t>
          </a:r>
          <a:r>
            <a:rPr kumimoji="1" lang="ja-JP" altLang="en-US" sz="1100"/>
            <a:t>％</a:t>
          </a:r>
        </a:p>
      </xdr:txBody>
    </xdr:sp>
    <xdr:clientData/>
  </xdr:twoCellAnchor>
  <xdr:twoCellAnchor>
    <xdr:from>
      <xdr:col>2</xdr:col>
      <xdr:colOff>92101</xdr:colOff>
      <xdr:row>105</xdr:row>
      <xdr:rowOff>263202</xdr:rowOff>
    </xdr:from>
    <xdr:to>
      <xdr:col>56</xdr:col>
      <xdr:colOff>97101</xdr:colOff>
      <xdr:row>106</xdr:row>
      <xdr:rowOff>323722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4DA4D8A9-1D27-4EB8-906A-35DC7099336B}"/>
            </a:ext>
          </a:extLst>
        </xdr:cNvPr>
        <xdr:cNvSpPr/>
      </xdr:nvSpPr>
      <xdr:spPr>
        <a:xfrm>
          <a:off x="387376" y="11617002"/>
          <a:ext cx="7377350" cy="327220"/>
        </a:xfrm>
        <a:prstGeom prst="rect">
          <a:avLst/>
        </a:prstGeom>
        <a:noFill/>
        <a:ln w="444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104775</xdr:colOff>
      <xdr:row>106</xdr:row>
      <xdr:rowOff>28575</xdr:rowOff>
    </xdr:from>
    <xdr:to>
      <xdr:col>21</xdr:col>
      <xdr:colOff>28575</xdr:colOff>
      <xdr:row>106</xdr:row>
      <xdr:rowOff>304801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0CC4851B-D3DF-4645-8B0E-8431F7F6D326}"/>
            </a:ext>
          </a:extLst>
        </xdr:cNvPr>
        <xdr:cNvSpPr/>
      </xdr:nvSpPr>
      <xdr:spPr>
        <a:xfrm>
          <a:off x="2188845" y="15219045"/>
          <a:ext cx="266700" cy="278131"/>
        </a:xfrm>
        <a:prstGeom prst="ellipse">
          <a:avLst/>
        </a:prstGeom>
        <a:solidFill>
          <a:srgbClr val="80808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85725</xdr:colOff>
      <xdr:row>107</xdr:row>
      <xdr:rowOff>38100</xdr:rowOff>
    </xdr:from>
    <xdr:to>
      <xdr:col>21</xdr:col>
      <xdr:colOff>9525</xdr:colOff>
      <xdr:row>107</xdr:row>
      <xdr:rowOff>314326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5CEE4D86-48CC-4421-948D-C7229F3A3032}"/>
            </a:ext>
          </a:extLst>
        </xdr:cNvPr>
        <xdr:cNvSpPr/>
      </xdr:nvSpPr>
      <xdr:spPr>
        <a:xfrm>
          <a:off x="2173605" y="15554325"/>
          <a:ext cx="266700" cy="278131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85725</xdr:colOff>
      <xdr:row>108</xdr:row>
      <xdr:rowOff>38100</xdr:rowOff>
    </xdr:from>
    <xdr:to>
      <xdr:col>21</xdr:col>
      <xdr:colOff>9525</xdr:colOff>
      <xdr:row>108</xdr:row>
      <xdr:rowOff>314326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76B0BE1D-1D63-4CB2-BAB9-86F276C657E9}"/>
            </a:ext>
          </a:extLst>
        </xdr:cNvPr>
        <xdr:cNvSpPr/>
      </xdr:nvSpPr>
      <xdr:spPr>
        <a:xfrm>
          <a:off x="2173605" y="15878175"/>
          <a:ext cx="266700" cy="278131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47625</xdr:colOff>
      <xdr:row>109</xdr:row>
      <xdr:rowOff>66675</xdr:rowOff>
    </xdr:from>
    <xdr:to>
      <xdr:col>19</xdr:col>
      <xdr:colOff>95250</xdr:colOff>
      <xdr:row>109</xdr:row>
      <xdr:rowOff>342901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C1BB3C3-EFE4-4C2C-9347-45F3350A0C7D}"/>
            </a:ext>
          </a:extLst>
        </xdr:cNvPr>
        <xdr:cNvSpPr/>
      </xdr:nvSpPr>
      <xdr:spPr>
        <a:xfrm>
          <a:off x="2021205" y="16228695"/>
          <a:ext cx="270510" cy="278131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114300</xdr:colOff>
      <xdr:row>109</xdr:row>
      <xdr:rowOff>76200</xdr:rowOff>
    </xdr:from>
    <xdr:to>
      <xdr:col>22</xdr:col>
      <xdr:colOff>38100</xdr:colOff>
      <xdr:row>110</xdr:row>
      <xdr:rowOff>1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B45D14A2-B7B3-4897-9FE6-E693057054DC}"/>
            </a:ext>
          </a:extLst>
        </xdr:cNvPr>
        <xdr:cNvSpPr/>
      </xdr:nvSpPr>
      <xdr:spPr>
        <a:xfrm>
          <a:off x="2314575" y="16240125"/>
          <a:ext cx="266700" cy="276226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105</xdr:row>
      <xdr:rowOff>219075</xdr:rowOff>
    </xdr:from>
    <xdr:to>
      <xdr:col>21</xdr:col>
      <xdr:colOff>114300</xdr:colOff>
      <xdr:row>107</xdr:row>
      <xdr:rowOff>9526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DEA0575B-EE50-4C40-8B0E-053EFACBEE61}"/>
            </a:ext>
          </a:extLst>
        </xdr:cNvPr>
        <xdr:cNvSpPr txBox="1"/>
      </xdr:nvSpPr>
      <xdr:spPr>
        <a:xfrm>
          <a:off x="2524125" y="11572875"/>
          <a:ext cx="419100" cy="390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</a:t>
          </a:r>
          <a:endParaRPr kumimoji="1" lang="ja-JP" altLang="en-US" sz="2000" b="1"/>
        </a:p>
      </xdr:txBody>
    </xdr:sp>
    <xdr:clientData/>
  </xdr:twoCellAnchor>
  <xdr:twoCellAnchor>
    <xdr:from>
      <xdr:col>18</xdr:col>
      <xdr:colOff>66675</xdr:colOff>
      <xdr:row>106</xdr:row>
      <xdr:rowOff>285750</xdr:rowOff>
    </xdr:from>
    <xdr:to>
      <xdr:col>21</xdr:col>
      <xdr:colOff>85725</xdr:colOff>
      <xdr:row>108</xdr:row>
      <xdr:rowOff>66676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2C2C3F-C3BD-4EB5-8317-5E7503243EA0}"/>
            </a:ext>
          </a:extLst>
        </xdr:cNvPr>
        <xdr:cNvSpPr txBox="1"/>
      </xdr:nvSpPr>
      <xdr:spPr>
        <a:xfrm>
          <a:off x="2150745" y="15474315"/>
          <a:ext cx="365760" cy="43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B</a:t>
          </a:r>
          <a:endParaRPr kumimoji="1" lang="ja-JP" altLang="en-US" sz="2000" b="1"/>
        </a:p>
      </xdr:txBody>
    </xdr:sp>
    <xdr:clientData/>
  </xdr:twoCellAnchor>
  <xdr:twoCellAnchor>
    <xdr:from>
      <xdr:col>18</xdr:col>
      <xdr:colOff>57150</xdr:colOff>
      <xdr:row>107</xdr:row>
      <xdr:rowOff>285750</xdr:rowOff>
    </xdr:from>
    <xdr:to>
      <xdr:col>21</xdr:col>
      <xdr:colOff>76200</xdr:colOff>
      <xdr:row>109</xdr:row>
      <xdr:rowOff>66676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9774F81-7F4C-42E5-86E2-41EEAB3C374C}"/>
            </a:ext>
          </a:extLst>
        </xdr:cNvPr>
        <xdr:cNvSpPr txBox="1"/>
      </xdr:nvSpPr>
      <xdr:spPr>
        <a:xfrm>
          <a:off x="2139315" y="15798165"/>
          <a:ext cx="365760" cy="4305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C</a:t>
          </a:r>
          <a:endParaRPr kumimoji="1" lang="ja-JP" altLang="en-US" sz="2000" b="1"/>
        </a:p>
      </xdr:txBody>
    </xdr:sp>
    <xdr:clientData/>
  </xdr:twoCellAnchor>
  <xdr:twoCellAnchor>
    <xdr:from>
      <xdr:col>17</xdr:col>
      <xdr:colOff>0</xdr:colOff>
      <xdr:row>108</xdr:row>
      <xdr:rowOff>304800</xdr:rowOff>
    </xdr:from>
    <xdr:to>
      <xdr:col>20</xdr:col>
      <xdr:colOff>19050</xdr:colOff>
      <xdr:row>110</xdr:row>
      <xdr:rowOff>57151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BFDD97C-9AB5-4C08-8017-05DC32785869}"/>
            </a:ext>
          </a:extLst>
        </xdr:cNvPr>
        <xdr:cNvSpPr txBox="1"/>
      </xdr:nvSpPr>
      <xdr:spPr>
        <a:xfrm>
          <a:off x="1971675" y="16144875"/>
          <a:ext cx="358140" cy="424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D</a:t>
          </a:r>
          <a:endParaRPr kumimoji="1" lang="ja-JP" altLang="en-US" sz="2000" b="1"/>
        </a:p>
      </xdr:txBody>
    </xdr:sp>
    <xdr:clientData/>
  </xdr:twoCellAnchor>
  <xdr:twoCellAnchor>
    <xdr:from>
      <xdr:col>19</xdr:col>
      <xdr:colOff>85725</xdr:colOff>
      <xdr:row>108</xdr:row>
      <xdr:rowOff>314325</xdr:rowOff>
    </xdr:from>
    <xdr:to>
      <xdr:col>22</xdr:col>
      <xdr:colOff>104775</xdr:colOff>
      <xdr:row>110</xdr:row>
      <xdr:rowOff>66676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AB42695-DDBE-4512-8E6F-966FF0E30A27}"/>
            </a:ext>
          </a:extLst>
        </xdr:cNvPr>
        <xdr:cNvSpPr txBox="1"/>
      </xdr:nvSpPr>
      <xdr:spPr>
        <a:xfrm>
          <a:off x="2287905" y="16156305"/>
          <a:ext cx="358140" cy="4248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B1:BJ135"/>
  <sheetViews>
    <sheetView showGridLines="0" tabSelected="1" view="pageBreakPreview" topLeftCell="A108" zoomScale="130" zoomScaleNormal="100" zoomScaleSheetLayoutView="130" workbookViewId="0">
      <selection activeCell="B114" sqref="B114:AO123"/>
    </sheetView>
  </sheetViews>
  <sheetFormatPr defaultColWidth="1.7109375" defaultRowHeight="8.25" customHeight="1"/>
  <cols>
    <col min="1" max="1" width="0.7109375" customWidth="1"/>
    <col min="2" max="2" width="3.140625" customWidth="1"/>
    <col min="3" max="30" width="1.7109375" customWidth="1"/>
    <col min="31" max="31" width="2.140625" customWidth="1"/>
    <col min="32" max="51" width="1.7109375" customWidth="1"/>
    <col min="52" max="59" width="2.140625" customWidth="1"/>
    <col min="60" max="60" width="3.7109375" hidden="1" customWidth="1"/>
    <col min="61" max="61" width="0.85546875" customWidth="1"/>
    <col min="62" max="64" width="1.7109375" customWidth="1"/>
  </cols>
  <sheetData>
    <row r="1" spans="2:62" ht="3.75" customHeight="1">
      <c r="B1" s="1"/>
      <c r="C1" s="1"/>
      <c r="D1" s="7"/>
      <c r="E1" s="7"/>
      <c r="F1" s="7"/>
      <c r="G1" s="7"/>
      <c r="H1" s="7"/>
      <c r="I1" s="7"/>
      <c r="J1" s="1"/>
      <c r="K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1"/>
      <c r="BB1" s="1"/>
      <c r="BC1" s="1"/>
      <c r="BD1" s="1"/>
      <c r="BE1" s="1"/>
      <c r="BF1" s="1"/>
      <c r="BG1" s="1"/>
    </row>
    <row r="2" spans="2:62" ht="19.5" customHeight="1">
      <c r="B2" s="5"/>
      <c r="C2" s="5"/>
      <c r="D2" s="187">
        <v>27502</v>
      </c>
      <c r="E2" s="187"/>
      <c r="F2" s="187"/>
      <c r="G2" s="187"/>
      <c r="H2" s="187"/>
      <c r="I2" s="187"/>
      <c r="J2" s="1"/>
      <c r="K2" s="1"/>
      <c r="L2" s="239" t="s">
        <v>0</v>
      </c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37"/>
      <c r="AN2" s="237"/>
      <c r="AO2" s="237"/>
      <c r="AP2" s="258" t="s">
        <v>1</v>
      </c>
      <c r="AQ2" s="259"/>
      <c r="AR2" s="259"/>
      <c r="AS2" s="259"/>
      <c r="AT2" s="259"/>
      <c r="AU2" s="259"/>
      <c r="AV2" s="259"/>
      <c r="AW2" s="259"/>
      <c r="AX2" s="259"/>
      <c r="AY2" s="259"/>
      <c r="AZ2" s="259"/>
      <c r="BA2" s="259"/>
      <c r="BB2" s="259"/>
      <c r="BC2" s="259"/>
      <c r="BD2" s="259"/>
      <c r="BE2" s="259"/>
      <c r="BF2" s="259"/>
      <c r="BG2" s="259"/>
    </row>
    <row r="3" spans="2:62" ht="7.5" customHeight="1">
      <c r="B3" s="292" t="s">
        <v>2</v>
      </c>
      <c r="C3" s="292"/>
      <c r="D3" s="187"/>
      <c r="E3" s="187"/>
      <c r="F3" s="187"/>
      <c r="G3" s="187"/>
      <c r="H3" s="187"/>
      <c r="I3" s="187"/>
      <c r="J3" s="1"/>
      <c r="K3" s="1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37"/>
      <c r="AN3" s="237"/>
      <c r="AO3" s="237"/>
      <c r="AP3" s="259"/>
      <c r="AQ3" s="259"/>
      <c r="AR3" s="259"/>
      <c r="AS3" s="259"/>
      <c r="AT3" s="259"/>
      <c r="AU3" s="259"/>
      <c r="AV3" s="259"/>
      <c r="AW3" s="259"/>
      <c r="AX3" s="259"/>
      <c r="AY3" s="259"/>
      <c r="AZ3" s="259"/>
      <c r="BA3" s="259"/>
      <c r="BB3" s="259"/>
      <c r="BC3" s="259"/>
      <c r="BD3" s="259"/>
      <c r="BE3" s="259"/>
      <c r="BF3" s="259"/>
      <c r="BG3" s="259"/>
    </row>
    <row r="4" spans="2:62" ht="7.5" customHeight="1">
      <c r="B4" s="293"/>
      <c r="C4" s="293"/>
      <c r="D4" s="188"/>
      <c r="E4" s="188"/>
      <c r="F4" s="188"/>
      <c r="G4" s="188"/>
      <c r="H4" s="188"/>
      <c r="I4" s="188"/>
      <c r="J4" s="1"/>
      <c r="K4" s="1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37"/>
      <c r="AN4" s="237"/>
      <c r="AO4" s="237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</row>
    <row r="5" spans="2:62" ht="7.5" customHeight="1" thickBot="1">
      <c r="B5" s="3"/>
      <c r="C5" s="3"/>
      <c r="D5" s="3"/>
      <c r="E5" s="3"/>
      <c r="F5" s="3"/>
      <c r="G5" s="3"/>
      <c r="H5" s="3"/>
      <c r="I5" s="3"/>
      <c r="J5" s="3"/>
      <c r="K5" s="3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38"/>
      <c r="AN5" s="238"/>
      <c r="AO5" s="238"/>
      <c r="AP5" s="260"/>
      <c r="AQ5" s="260"/>
      <c r="AR5" s="260"/>
      <c r="AS5" s="260"/>
      <c r="AT5" s="260"/>
      <c r="AU5" s="260"/>
      <c r="AV5" s="260"/>
      <c r="AW5" s="260"/>
      <c r="AX5" s="260"/>
      <c r="AY5" s="260"/>
      <c r="AZ5" s="260"/>
      <c r="BA5" s="260"/>
      <c r="BB5" s="260"/>
      <c r="BC5" s="260"/>
      <c r="BD5" s="260"/>
      <c r="BE5" s="260"/>
      <c r="BF5" s="260"/>
      <c r="BG5" s="260"/>
    </row>
    <row r="6" spans="2:62" ht="7.5" customHeight="1">
      <c r="B6" s="189" t="s">
        <v>3</v>
      </c>
      <c r="C6" s="190"/>
      <c r="D6" s="190"/>
      <c r="E6" s="191"/>
      <c r="F6" s="212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4"/>
      <c r="AA6" s="133" t="s">
        <v>4</v>
      </c>
      <c r="AB6" s="128"/>
      <c r="AC6" s="128"/>
      <c r="AD6" s="128"/>
      <c r="AE6" s="129"/>
      <c r="AF6" s="218" t="s">
        <v>5</v>
      </c>
      <c r="AG6" s="219"/>
      <c r="AH6" s="219"/>
      <c r="AI6" s="219"/>
      <c r="AJ6" s="220"/>
      <c r="AK6" s="133" t="s">
        <v>6</v>
      </c>
      <c r="AL6" s="242"/>
      <c r="AM6" s="242"/>
      <c r="AN6" s="242"/>
      <c r="AO6" s="242"/>
      <c r="AP6" s="242"/>
      <c r="AQ6" s="242"/>
      <c r="AR6" s="242"/>
      <c r="AS6" s="242"/>
      <c r="AT6" s="242"/>
      <c r="AU6" s="242"/>
      <c r="AV6" s="242"/>
      <c r="AW6" s="242"/>
      <c r="AX6" s="242"/>
      <c r="AY6" s="242"/>
      <c r="AZ6" s="242"/>
      <c r="BA6" s="242"/>
      <c r="BB6" s="242"/>
      <c r="BC6" s="242"/>
      <c r="BD6" s="242"/>
      <c r="BE6" s="242"/>
      <c r="BF6" s="242"/>
      <c r="BG6" s="243"/>
    </row>
    <row r="7" spans="2:62" ht="7.5" customHeight="1">
      <c r="B7" s="192"/>
      <c r="C7" s="193"/>
      <c r="D7" s="193"/>
      <c r="E7" s="194"/>
      <c r="F7" s="215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7"/>
      <c r="AA7" s="224"/>
      <c r="AB7" s="225"/>
      <c r="AC7" s="225"/>
      <c r="AD7" s="225"/>
      <c r="AE7" s="226"/>
      <c r="AF7" s="221"/>
      <c r="AG7" s="222"/>
      <c r="AH7" s="222"/>
      <c r="AI7" s="222"/>
      <c r="AJ7" s="223"/>
      <c r="AK7" s="244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6"/>
      <c r="BH7" s="8"/>
    </row>
    <row r="8" spans="2:62" ht="7.5" customHeight="1">
      <c r="B8" s="192"/>
      <c r="C8" s="193"/>
      <c r="D8" s="193"/>
      <c r="E8" s="194"/>
      <c r="F8" s="249" t="s">
        <v>7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1"/>
      <c r="AA8" s="227" t="s">
        <v>8</v>
      </c>
      <c r="AB8" s="227"/>
      <c r="AC8" s="227"/>
      <c r="AD8" s="227"/>
      <c r="AE8" s="227"/>
      <c r="AF8" s="281">
        <f ca="1">DATEDIF(BH8,TODAY(),"y")</f>
        <v>25</v>
      </c>
      <c r="AG8" s="282"/>
      <c r="AH8" s="282"/>
      <c r="AI8" s="282"/>
      <c r="AJ8" s="283"/>
      <c r="AK8" s="261" t="s">
        <v>9</v>
      </c>
      <c r="AL8" s="262"/>
      <c r="AM8" s="262"/>
      <c r="AN8" s="262"/>
      <c r="AO8" s="262"/>
      <c r="AP8" s="262"/>
      <c r="AQ8" s="262"/>
      <c r="AR8" s="262"/>
      <c r="AS8" s="262"/>
      <c r="AT8" s="262"/>
      <c r="AU8" s="262"/>
      <c r="AV8" s="262"/>
      <c r="AW8" s="262"/>
      <c r="AX8" s="262"/>
      <c r="AY8" s="262"/>
      <c r="AZ8" s="262"/>
      <c r="BA8" s="262"/>
      <c r="BB8" s="262"/>
      <c r="BC8" s="262"/>
      <c r="BD8" s="262"/>
      <c r="BE8" s="262"/>
      <c r="BF8" s="262"/>
      <c r="BG8" s="263"/>
      <c r="BH8" s="40">
        <v>37000</v>
      </c>
      <c r="BI8" s="9"/>
      <c r="BJ8" s="9"/>
    </row>
    <row r="9" spans="2:62" ht="7.5" customHeight="1">
      <c r="B9" s="192"/>
      <c r="C9" s="193"/>
      <c r="D9" s="193"/>
      <c r="E9" s="194"/>
      <c r="F9" s="252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4"/>
      <c r="AA9" s="228"/>
      <c r="AB9" s="228"/>
      <c r="AC9" s="228"/>
      <c r="AD9" s="228"/>
      <c r="AE9" s="228"/>
      <c r="AF9" s="284"/>
      <c r="AG9" s="285"/>
      <c r="AH9" s="285"/>
      <c r="AI9" s="285"/>
      <c r="AJ9" s="286"/>
      <c r="AK9" s="264"/>
      <c r="AL9" s="265"/>
      <c r="AM9" s="265"/>
      <c r="AN9" s="265"/>
      <c r="AO9" s="265"/>
      <c r="AP9" s="265"/>
      <c r="AQ9" s="265"/>
      <c r="AR9" s="265"/>
      <c r="AS9" s="265"/>
      <c r="AT9" s="265"/>
      <c r="AU9" s="265"/>
      <c r="AV9" s="265"/>
      <c r="AW9" s="265"/>
      <c r="AX9" s="265"/>
      <c r="AY9" s="265"/>
      <c r="AZ9" s="265"/>
      <c r="BA9" s="265"/>
      <c r="BB9" s="265"/>
      <c r="BC9" s="265"/>
      <c r="BD9" s="265"/>
      <c r="BE9" s="265"/>
      <c r="BF9" s="265"/>
      <c r="BG9" s="266"/>
      <c r="BH9" s="40"/>
      <c r="BI9" s="9"/>
      <c r="BJ9" s="9"/>
    </row>
    <row r="10" spans="2:62" ht="7.5" customHeight="1">
      <c r="B10" s="195"/>
      <c r="C10" s="196"/>
      <c r="D10" s="196"/>
      <c r="E10" s="197"/>
      <c r="F10" s="255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7"/>
      <c r="AA10" s="229"/>
      <c r="AB10" s="229"/>
      <c r="AC10" s="229"/>
      <c r="AD10" s="229"/>
      <c r="AE10" s="229"/>
      <c r="AF10" s="287"/>
      <c r="AG10" s="288"/>
      <c r="AH10" s="288"/>
      <c r="AI10" s="288"/>
      <c r="AJ10" s="289"/>
      <c r="AK10" s="264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5"/>
      <c r="BD10" s="265"/>
      <c r="BE10" s="265"/>
      <c r="BF10" s="265"/>
      <c r="BG10" s="266"/>
      <c r="BH10" s="40"/>
      <c r="BI10" s="9"/>
      <c r="BJ10" s="9"/>
    </row>
    <row r="11" spans="2:62" ht="7.5" customHeight="1">
      <c r="B11" s="186" t="s">
        <v>10</v>
      </c>
      <c r="C11" s="181"/>
      <c r="D11" s="181"/>
      <c r="E11" s="181"/>
      <c r="F11" s="198" t="s">
        <v>11</v>
      </c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264"/>
      <c r="AL11" s="265"/>
      <c r="AM11" s="265"/>
      <c r="AN11" s="265"/>
      <c r="AO11" s="265"/>
      <c r="AP11" s="265"/>
      <c r="AQ11" s="265"/>
      <c r="AR11" s="265"/>
      <c r="AS11" s="265"/>
      <c r="AT11" s="265"/>
      <c r="AU11" s="265"/>
      <c r="AV11" s="265"/>
      <c r="AW11" s="265"/>
      <c r="AX11" s="265"/>
      <c r="AY11" s="265"/>
      <c r="AZ11" s="265"/>
      <c r="BA11" s="265"/>
      <c r="BB11" s="265"/>
      <c r="BC11" s="265"/>
      <c r="BD11" s="265"/>
      <c r="BE11" s="265"/>
      <c r="BF11" s="265"/>
      <c r="BG11" s="266"/>
      <c r="BH11" s="40"/>
      <c r="BI11" s="9"/>
      <c r="BJ11" s="9"/>
    </row>
    <row r="12" spans="2:62" ht="7.5" customHeight="1">
      <c r="B12" s="186"/>
      <c r="C12" s="181"/>
      <c r="D12" s="181"/>
      <c r="E12" s="181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264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265"/>
      <c r="AY12" s="265"/>
      <c r="AZ12" s="265"/>
      <c r="BA12" s="265"/>
      <c r="BB12" s="265"/>
      <c r="BC12" s="265"/>
      <c r="BD12" s="265"/>
      <c r="BE12" s="265"/>
      <c r="BF12" s="265"/>
      <c r="BG12" s="266"/>
      <c r="BH12" s="40"/>
      <c r="BI12" s="9"/>
      <c r="BJ12" s="9"/>
    </row>
    <row r="13" spans="2:62" ht="7.5" customHeight="1">
      <c r="B13" s="186"/>
      <c r="C13" s="181"/>
      <c r="D13" s="181"/>
      <c r="E13" s="181"/>
      <c r="F13" s="199"/>
      <c r="G13" s="199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264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6"/>
    </row>
    <row r="14" spans="2:62" ht="7.5" customHeight="1">
      <c r="B14" s="186"/>
      <c r="C14" s="181"/>
      <c r="D14" s="181"/>
      <c r="E14" s="181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264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6"/>
    </row>
    <row r="15" spans="2:62" ht="7.5" customHeight="1">
      <c r="B15" s="186" t="s">
        <v>12</v>
      </c>
      <c r="C15" s="181"/>
      <c r="D15" s="181"/>
      <c r="E15" s="181"/>
      <c r="F15" s="230" t="s">
        <v>13</v>
      </c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47" t="s">
        <v>14</v>
      </c>
      <c r="T15" s="247"/>
      <c r="U15" s="247"/>
      <c r="V15" s="231" t="s">
        <v>15</v>
      </c>
      <c r="W15" s="231"/>
      <c r="X15" s="231"/>
      <c r="Y15" s="231"/>
      <c r="Z15" s="231"/>
      <c r="AA15" s="231"/>
      <c r="AB15" s="231"/>
      <c r="AC15" s="231"/>
      <c r="AD15" s="231"/>
      <c r="AE15" s="231"/>
      <c r="AF15" s="231"/>
      <c r="AG15" s="231"/>
      <c r="AH15" s="206" t="s">
        <v>16</v>
      </c>
      <c r="AI15" s="206"/>
      <c r="AJ15" s="207"/>
      <c r="AK15" s="264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6"/>
    </row>
    <row r="16" spans="2:62" ht="7.5" customHeight="1">
      <c r="B16" s="186"/>
      <c r="C16" s="181"/>
      <c r="D16" s="181"/>
      <c r="E16" s="181"/>
      <c r="F16" s="230"/>
      <c r="G16" s="231"/>
      <c r="H16" s="231"/>
      <c r="I16" s="231"/>
      <c r="J16" s="231"/>
      <c r="K16" s="231"/>
      <c r="L16" s="231"/>
      <c r="M16" s="231"/>
      <c r="N16" s="231"/>
      <c r="O16" s="231"/>
      <c r="P16" s="231"/>
      <c r="Q16" s="231"/>
      <c r="R16" s="231"/>
      <c r="S16" s="248"/>
      <c r="T16" s="248"/>
      <c r="U16" s="248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08"/>
      <c r="AI16" s="208"/>
      <c r="AJ16" s="209"/>
      <c r="AK16" s="264"/>
      <c r="AL16" s="265"/>
      <c r="AM16" s="265"/>
      <c r="AN16" s="265"/>
      <c r="AO16" s="265"/>
      <c r="AP16" s="265"/>
      <c r="AQ16" s="265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6"/>
    </row>
    <row r="17" spans="2:60" ht="7.5" customHeight="1">
      <c r="B17" s="186"/>
      <c r="C17" s="181"/>
      <c r="D17" s="181"/>
      <c r="E17" s="181"/>
      <c r="F17" s="232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48"/>
      <c r="T17" s="248"/>
      <c r="U17" s="248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10"/>
      <c r="AI17" s="210"/>
      <c r="AJ17" s="211"/>
      <c r="AK17" s="267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9"/>
    </row>
    <row r="18" spans="2:60" ht="7.5" customHeight="1">
      <c r="B18" s="186" t="s">
        <v>17</v>
      </c>
      <c r="C18" s="181"/>
      <c r="D18" s="181"/>
      <c r="E18" s="181"/>
      <c r="F18" s="51" t="s">
        <v>18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200" t="s">
        <v>19</v>
      </c>
      <c r="AF18" s="200"/>
      <c r="AG18" s="200"/>
      <c r="AH18" s="200"/>
      <c r="AI18" s="200"/>
      <c r="AJ18" s="201"/>
      <c r="AK18" s="270" t="s">
        <v>20</v>
      </c>
      <c r="AL18" s="271"/>
      <c r="AM18" s="225"/>
      <c r="AN18" s="225"/>
      <c r="AO18" s="226"/>
      <c r="AP18" s="51" t="s">
        <v>21</v>
      </c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3"/>
      <c r="BB18" s="41" t="s">
        <v>22</v>
      </c>
      <c r="BC18" s="42"/>
      <c r="BD18" s="42"/>
      <c r="BE18" s="45">
        <v>2.6</v>
      </c>
      <c r="BF18" s="45"/>
      <c r="BG18" s="46"/>
      <c r="BH18" s="4"/>
    </row>
    <row r="19" spans="2:60" ht="7.5" customHeight="1">
      <c r="B19" s="186"/>
      <c r="C19" s="181"/>
      <c r="D19" s="181"/>
      <c r="E19" s="181"/>
      <c r="F19" s="54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202"/>
      <c r="AF19" s="202"/>
      <c r="AG19" s="202"/>
      <c r="AH19" s="202"/>
      <c r="AI19" s="202"/>
      <c r="AJ19" s="203"/>
      <c r="AK19" s="224"/>
      <c r="AL19" s="225"/>
      <c r="AM19" s="225"/>
      <c r="AN19" s="225"/>
      <c r="AO19" s="226"/>
      <c r="AP19" s="54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6"/>
      <c r="BB19" s="43"/>
      <c r="BC19" s="43"/>
      <c r="BD19" s="43"/>
      <c r="BE19" s="47"/>
      <c r="BF19" s="47"/>
      <c r="BG19" s="48"/>
      <c r="BH19" s="4"/>
    </row>
    <row r="20" spans="2:60" ht="7.5" customHeight="1" thickBot="1">
      <c r="B20" s="290"/>
      <c r="C20" s="291"/>
      <c r="D20" s="291"/>
      <c r="E20" s="291"/>
      <c r="F20" s="57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204"/>
      <c r="AF20" s="204"/>
      <c r="AG20" s="204"/>
      <c r="AH20" s="204"/>
      <c r="AI20" s="204"/>
      <c r="AJ20" s="205"/>
      <c r="AK20" s="272"/>
      <c r="AL20" s="273"/>
      <c r="AM20" s="273"/>
      <c r="AN20" s="273"/>
      <c r="AO20" s="274"/>
      <c r="AP20" s="57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44"/>
      <c r="BC20" s="44"/>
      <c r="BD20" s="44"/>
      <c r="BE20" s="49"/>
      <c r="BF20" s="49"/>
      <c r="BG20" s="50"/>
      <c r="BH20" s="4"/>
    </row>
    <row r="21" spans="2:60" s="6" customFormat="1" ht="7.5" customHeight="1">
      <c r="B21" s="234"/>
      <c r="C21" s="175" t="s">
        <v>23</v>
      </c>
      <c r="D21" s="180"/>
      <c r="E21" s="180"/>
      <c r="F21" s="180"/>
      <c r="G21" s="180"/>
      <c r="H21" s="180"/>
      <c r="I21" s="163" t="s">
        <v>24</v>
      </c>
      <c r="J21" s="164"/>
      <c r="K21" s="165"/>
      <c r="L21" s="175" t="s">
        <v>25</v>
      </c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 t="s">
        <v>26</v>
      </c>
      <c r="AG21" s="175"/>
      <c r="AH21" s="175"/>
      <c r="AI21" s="175"/>
      <c r="AJ21" s="175"/>
      <c r="AK21" s="175"/>
      <c r="AL21" s="175"/>
      <c r="AM21" s="175"/>
      <c r="AN21" s="175"/>
      <c r="AO21" s="175"/>
      <c r="AP21" s="175" t="s">
        <v>27</v>
      </c>
      <c r="AQ21" s="175"/>
      <c r="AR21" s="175"/>
      <c r="AS21" s="175"/>
      <c r="AT21" s="175"/>
      <c r="AU21" s="175"/>
      <c r="AV21" s="175"/>
      <c r="AW21" s="175"/>
      <c r="AX21" s="175"/>
      <c r="AY21" s="175"/>
      <c r="AZ21" s="133" t="s">
        <v>28</v>
      </c>
      <c r="BA21" s="128"/>
      <c r="BB21" s="128"/>
      <c r="BC21" s="128"/>
      <c r="BD21" s="128"/>
      <c r="BE21" s="128"/>
      <c r="BF21" s="128"/>
      <c r="BG21" s="134"/>
    </row>
    <row r="22" spans="2:60" s="6" customFormat="1" ht="7.5" customHeight="1">
      <c r="B22" s="235"/>
      <c r="C22" s="181"/>
      <c r="D22" s="181"/>
      <c r="E22" s="181"/>
      <c r="F22" s="181"/>
      <c r="G22" s="181"/>
      <c r="H22" s="181"/>
      <c r="I22" s="166"/>
      <c r="J22" s="167"/>
      <c r="K22" s="168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35"/>
      <c r="BA22" s="131"/>
      <c r="BB22" s="131"/>
      <c r="BC22" s="131"/>
      <c r="BD22" s="131"/>
      <c r="BE22" s="131"/>
      <c r="BF22" s="131"/>
      <c r="BG22" s="136"/>
    </row>
    <row r="23" spans="2:60" s="6" customFormat="1" ht="7.5" customHeight="1">
      <c r="B23" s="235"/>
      <c r="C23" s="181"/>
      <c r="D23" s="181"/>
      <c r="E23" s="181"/>
      <c r="F23" s="181"/>
      <c r="G23" s="181"/>
      <c r="H23" s="181"/>
      <c r="I23" s="166"/>
      <c r="J23" s="167"/>
      <c r="K23" s="168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275" t="s">
        <v>29</v>
      </c>
      <c r="BA23" s="276"/>
      <c r="BB23" s="276"/>
      <c r="BC23" s="276"/>
      <c r="BD23" s="276"/>
      <c r="BE23" s="276"/>
      <c r="BF23" s="276"/>
      <c r="BG23" s="277"/>
    </row>
    <row r="24" spans="2:60" s="6" customFormat="1" ht="7.5" customHeight="1">
      <c r="B24" s="235"/>
      <c r="C24" s="181"/>
      <c r="D24" s="181"/>
      <c r="E24" s="181"/>
      <c r="F24" s="181"/>
      <c r="G24" s="181"/>
      <c r="H24" s="181"/>
      <c r="I24" s="166"/>
      <c r="J24" s="167"/>
      <c r="K24" s="168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  <c r="AW24" s="176"/>
      <c r="AX24" s="176"/>
      <c r="AY24" s="176"/>
      <c r="AZ24" s="278"/>
      <c r="BA24" s="279"/>
      <c r="BB24" s="279"/>
      <c r="BC24" s="279"/>
      <c r="BD24" s="279"/>
      <c r="BE24" s="279"/>
      <c r="BF24" s="279"/>
      <c r="BG24" s="280"/>
    </row>
    <row r="25" spans="2:60" s="6" customFormat="1" ht="7.5" customHeight="1">
      <c r="B25" s="235"/>
      <c r="C25" s="181"/>
      <c r="D25" s="181"/>
      <c r="E25" s="181"/>
      <c r="F25" s="181"/>
      <c r="G25" s="181"/>
      <c r="H25" s="181"/>
      <c r="I25" s="166"/>
      <c r="J25" s="167"/>
      <c r="K25" s="168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  <c r="AX25" s="176"/>
      <c r="AY25" s="176"/>
      <c r="AZ25" s="157" t="s">
        <v>30</v>
      </c>
      <c r="BA25" s="158"/>
      <c r="BB25" s="158"/>
      <c r="BC25" s="158"/>
      <c r="BD25" s="158"/>
      <c r="BE25" s="158"/>
      <c r="BF25" s="158"/>
      <c r="BG25" s="159"/>
    </row>
    <row r="26" spans="2:60" s="6" customFormat="1" ht="7.5" customHeight="1" thickBot="1">
      <c r="B26" s="236"/>
      <c r="C26" s="182"/>
      <c r="D26" s="182"/>
      <c r="E26" s="182"/>
      <c r="F26" s="182"/>
      <c r="G26" s="182"/>
      <c r="H26" s="182"/>
      <c r="I26" s="169"/>
      <c r="J26" s="170"/>
      <c r="K26" s="171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7"/>
      <c r="AQ26" s="177"/>
      <c r="AR26" s="177"/>
      <c r="AS26" s="177"/>
      <c r="AT26" s="177"/>
      <c r="AU26" s="177"/>
      <c r="AV26" s="177"/>
      <c r="AW26" s="177"/>
      <c r="AX26" s="177"/>
      <c r="AY26" s="177"/>
      <c r="AZ26" s="160"/>
      <c r="BA26" s="161"/>
      <c r="BB26" s="161"/>
      <c r="BC26" s="161"/>
      <c r="BD26" s="161"/>
      <c r="BE26" s="161"/>
      <c r="BF26" s="161"/>
      <c r="BG26" s="162"/>
    </row>
    <row r="27" spans="2:60" ht="7.9" customHeight="1">
      <c r="B27" s="137">
        <v>1</v>
      </c>
      <c r="C27" s="172">
        <v>43313</v>
      </c>
      <c r="D27" s="173"/>
      <c r="E27" s="173"/>
      <c r="F27" s="173"/>
      <c r="G27" s="173"/>
      <c r="H27" s="174"/>
      <c r="I27" s="183">
        <f>IF(C34="","",(DATEDIF(C27,C34,"ｍ")+1))</f>
        <v>47</v>
      </c>
      <c r="J27" s="184"/>
      <c r="K27" s="185"/>
      <c r="L27" s="178" t="s">
        <v>31</v>
      </c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 t="s">
        <v>32</v>
      </c>
      <c r="AG27" s="179"/>
      <c r="AH27" s="179"/>
      <c r="AI27" s="179"/>
      <c r="AJ27" s="179"/>
      <c r="AK27" s="179"/>
      <c r="AL27" s="179"/>
      <c r="AM27" s="179"/>
      <c r="AN27" s="179"/>
      <c r="AO27" s="179"/>
      <c r="AP27" s="179" t="s">
        <v>33</v>
      </c>
      <c r="AQ27" s="179"/>
      <c r="AR27" s="179"/>
      <c r="AS27" s="179"/>
      <c r="AT27" s="179"/>
      <c r="AU27" s="179"/>
      <c r="AV27" s="179"/>
      <c r="AW27" s="179"/>
      <c r="AX27" s="179"/>
      <c r="AY27" s="179"/>
      <c r="AZ27" s="82"/>
      <c r="BA27" s="69"/>
      <c r="BB27" s="69"/>
      <c r="BC27" s="69"/>
      <c r="BD27" s="69"/>
      <c r="BE27" s="69"/>
      <c r="BF27" s="69"/>
      <c r="BG27" s="71" t="s">
        <v>34</v>
      </c>
    </row>
    <row r="28" spans="2:60" ht="7.9" customHeight="1">
      <c r="B28" s="138"/>
      <c r="C28" s="87"/>
      <c r="D28" s="88"/>
      <c r="E28" s="88"/>
      <c r="F28" s="88"/>
      <c r="G28" s="88"/>
      <c r="H28" s="89"/>
      <c r="I28" s="93"/>
      <c r="J28" s="94"/>
      <c r="K28" s="95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83"/>
      <c r="BA28" s="70"/>
      <c r="BB28" s="70"/>
      <c r="BC28" s="70"/>
      <c r="BD28" s="70"/>
      <c r="BE28" s="70"/>
      <c r="BF28" s="70"/>
      <c r="BG28" s="72"/>
    </row>
    <row r="29" spans="2:60" ht="7.9" customHeight="1">
      <c r="B29" s="138"/>
      <c r="C29" s="87"/>
      <c r="D29" s="88"/>
      <c r="E29" s="88"/>
      <c r="F29" s="88"/>
      <c r="G29" s="88"/>
      <c r="H29" s="89"/>
      <c r="I29" s="93"/>
      <c r="J29" s="94"/>
      <c r="K29" s="95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73" t="s">
        <v>35</v>
      </c>
      <c r="BA29" s="76" t="s">
        <v>36</v>
      </c>
      <c r="BB29" s="76" t="s">
        <v>37</v>
      </c>
      <c r="BC29" s="76" t="s">
        <v>38</v>
      </c>
      <c r="BD29" s="76" t="s">
        <v>39</v>
      </c>
      <c r="BE29" s="76" t="s">
        <v>40</v>
      </c>
      <c r="BF29" s="76" t="s">
        <v>41</v>
      </c>
      <c r="BG29" s="79" t="s">
        <v>42</v>
      </c>
    </row>
    <row r="30" spans="2:60" ht="7.9" customHeight="1">
      <c r="B30" s="138"/>
      <c r="C30" s="87"/>
      <c r="D30" s="88"/>
      <c r="E30" s="88"/>
      <c r="F30" s="88"/>
      <c r="G30" s="88"/>
      <c r="H30" s="89"/>
      <c r="I30" s="93"/>
      <c r="J30" s="94"/>
      <c r="K30" s="95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74"/>
      <c r="BA30" s="77"/>
      <c r="BB30" s="77"/>
      <c r="BC30" s="77"/>
      <c r="BD30" s="77"/>
      <c r="BE30" s="77"/>
      <c r="BF30" s="77"/>
      <c r="BG30" s="80"/>
    </row>
    <row r="31" spans="2:60" ht="7.9" customHeight="1">
      <c r="B31" s="138"/>
      <c r="C31" s="87"/>
      <c r="D31" s="88"/>
      <c r="E31" s="88"/>
      <c r="F31" s="88"/>
      <c r="G31" s="88"/>
      <c r="H31" s="89"/>
      <c r="I31" s="93"/>
      <c r="J31" s="94"/>
      <c r="K31" s="95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74"/>
      <c r="BA31" s="77"/>
      <c r="BB31" s="77"/>
      <c r="BC31" s="77"/>
      <c r="BD31" s="77"/>
      <c r="BE31" s="77"/>
      <c r="BF31" s="77"/>
      <c r="BG31" s="80"/>
    </row>
    <row r="32" spans="2:60" ht="7.9" customHeight="1">
      <c r="B32" s="138"/>
      <c r="C32" s="100" t="s">
        <v>43</v>
      </c>
      <c r="D32" s="101"/>
      <c r="E32" s="101"/>
      <c r="F32" s="101"/>
      <c r="G32" s="101"/>
      <c r="H32" s="102"/>
      <c r="I32" s="93"/>
      <c r="J32" s="94"/>
      <c r="K32" s="95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74"/>
      <c r="BA32" s="77"/>
      <c r="BB32" s="77"/>
      <c r="BC32" s="77"/>
      <c r="BD32" s="77"/>
      <c r="BE32" s="77"/>
      <c r="BF32" s="77"/>
      <c r="BG32" s="80"/>
    </row>
    <row r="33" spans="2:59" ht="7.9" customHeight="1">
      <c r="B33" s="138"/>
      <c r="C33" s="100"/>
      <c r="D33" s="101"/>
      <c r="E33" s="101"/>
      <c r="F33" s="101"/>
      <c r="G33" s="101"/>
      <c r="H33" s="102"/>
      <c r="I33" s="93"/>
      <c r="J33" s="94"/>
      <c r="K33" s="95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74"/>
      <c r="BA33" s="77"/>
      <c r="BB33" s="77"/>
      <c r="BC33" s="77"/>
      <c r="BD33" s="77"/>
      <c r="BE33" s="77"/>
      <c r="BF33" s="77"/>
      <c r="BG33" s="80"/>
    </row>
    <row r="34" spans="2:59" ht="7.9" customHeight="1">
      <c r="B34" s="138"/>
      <c r="C34" s="87">
        <v>44713</v>
      </c>
      <c r="D34" s="88"/>
      <c r="E34" s="88"/>
      <c r="F34" s="88"/>
      <c r="G34" s="88"/>
      <c r="H34" s="89"/>
      <c r="I34" s="106" t="s">
        <v>44</v>
      </c>
      <c r="J34" s="107"/>
      <c r="K34" s="10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75"/>
      <c r="BA34" s="78"/>
      <c r="BB34" s="78"/>
      <c r="BC34" s="78"/>
      <c r="BD34" s="78"/>
      <c r="BE34" s="78"/>
      <c r="BF34" s="78"/>
      <c r="BG34" s="81"/>
    </row>
    <row r="35" spans="2:59" ht="7.9" customHeight="1">
      <c r="B35" s="138"/>
      <c r="C35" s="87"/>
      <c r="D35" s="88"/>
      <c r="E35" s="88"/>
      <c r="F35" s="88"/>
      <c r="G35" s="88"/>
      <c r="H35" s="89"/>
      <c r="I35" s="106"/>
      <c r="J35" s="107"/>
      <c r="K35" s="10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60"/>
      <c r="BA35" s="61"/>
      <c r="BB35" s="61"/>
      <c r="BC35" s="61"/>
      <c r="BD35" s="61"/>
      <c r="BE35" s="61"/>
      <c r="BF35" s="61"/>
      <c r="BG35" s="62"/>
    </row>
    <row r="36" spans="2:59" ht="7.9" customHeight="1">
      <c r="B36" s="138"/>
      <c r="C36" s="87"/>
      <c r="D36" s="88"/>
      <c r="E36" s="88"/>
      <c r="F36" s="88"/>
      <c r="G36" s="88"/>
      <c r="H36" s="89"/>
      <c r="I36" s="106"/>
      <c r="J36" s="107"/>
      <c r="K36" s="10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63"/>
      <c r="BA36" s="64"/>
      <c r="BB36" s="64"/>
      <c r="BC36" s="64"/>
      <c r="BD36" s="64"/>
      <c r="BE36" s="64"/>
      <c r="BF36" s="64"/>
      <c r="BG36" s="65"/>
    </row>
    <row r="37" spans="2:59" ht="7.9" customHeight="1">
      <c r="B37" s="138"/>
      <c r="C37" s="87"/>
      <c r="D37" s="88"/>
      <c r="E37" s="88"/>
      <c r="F37" s="88"/>
      <c r="G37" s="88"/>
      <c r="H37" s="89"/>
      <c r="I37" s="106"/>
      <c r="J37" s="107"/>
      <c r="K37" s="10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63"/>
      <c r="BA37" s="64"/>
      <c r="BB37" s="64"/>
      <c r="BC37" s="64"/>
      <c r="BD37" s="64"/>
      <c r="BE37" s="64"/>
      <c r="BF37" s="64"/>
      <c r="BG37" s="65"/>
    </row>
    <row r="38" spans="2:59" ht="7.9" customHeight="1">
      <c r="B38" s="139"/>
      <c r="C38" s="140"/>
      <c r="D38" s="141"/>
      <c r="E38" s="141"/>
      <c r="F38" s="141"/>
      <c r="G38" s="141"/>
      <c r="H38" s="142"/>
      <c r="I38" s="154"/>
      <c r="J38" s="155"/>
      <c r="K38" s="156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153"/>
      <c r="AI38" s="153"/>
      <c r="AJ38" s="153"/>
      <c r="AK38" s="153"/>
      <c r="AL38" s="153"/>
      <c r="AM38" s="153"/>
      <c r="AN38" s="153"/>
      <c r="AO38" s="153"/>
      <c r="AP38" s="153"/>
      <c r="AQ38" s="153"/>
      <c r="AR38" s="153"/>
      <c r="AS38" s="153"/>
      <c r="AT38" s="153"/>
      <c r="AU38" s="153"/>
      <c r="AV38" s="153"/>
      <c r="AW38" s="153"/>
      <c r="AX38" s="153"/>
      <c r="AY38" s="153"/>
      <c r="AZ38" s="66"/>
      <c r="BA38" s="67"/>
      <c r="BB38" s="67"/>
      <c r="BC38" s="67"/>
      <c r="BD38" s="67"/>
      <c r="BE38" s="67"/>
      <c r="BF38" s="67"/>
      <c r="BG38" s="68"/>
    </row>
    <row r="39" spans="2:59" ht="7.9" customHeight="1">
      <c r="B39" s="143">
        <v>2</v>
      </c>
      <c r="C39" s="84">
        <v>44927</v>
      </c>
      <c r="D39" s="85"/>
      <c r="E39" s="85"/>
      <c r="F39" s="85"/>
      <c r="G39" s="85"/>
      <c r="H39" s="86"/>
      <c r="I39" s="90">
        <f>IF(C46="","",(DATEDIF(C39,C46,"ｍ")+1))</f>
        <v>12</v>
      </c>
      <c r="J39" s="91"/>
      <c r="K39" s="92"/>
      <c r="L39" s="96" t="s">
        <v>45</v>
      </c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 t="s">
        <v>46</v>
      </c>
      <c r="AG39" s="97"/>
      <c r="AH39" s="97"/>
      <c r="AI39" s="97"/>
      <c r="AJ39" s="97"/>
      <c r="AK39" s="97"/>
      <c r="AL39" s="97"/>
      <c r="AM39" s="97"/>
      <c r="AN39" s="97"/>
      <c r="AO39" s="97"/>
      <c r="AP39" s="97" t="s">
        <v>47</v>
      </c>
      <c r="AQ39" s="97"/>
      <c r="AR39" s="97"/>
      <c r="AS39" s="97"/>
      <c r="AT39" s="97"/>
      <c r="AU39" s="97"/>
      <c r="AV39" s="97"/>
      <c r="AW39" s="97"/>
      <c r="AX39" s="97"/>
      <c r="AY39" s="97"/>
      <c r="AZ39" s="82"/>
      <c r="BA39" s="69"/>
      <c r="BB39" s="69" t="s">
        <v>34</v>
      </c>
      <c r="BC39" s="69" t="s">
        <v>34</v>
      </c>
      <c r="BD39" s="69" t="s">
        <v>34</v>
      </c>
      <c r="BE39" s="69"/>
      <c r="BF39" s="69" t="s">
        <v>34</v>
      </c>
      <c r="BG39" s="71"/>
    </row>
    <row r="40" spans="2:59" ht="7.9" customHeight="1">
      <c r="B40" s="138"/>
      <c r="C40" s="87"/>
      <c r="D40" s="88"/>
      <c r="E40" s="88"/>
      <c r="F40" s="88"/>
      <c r="G40" s="88"/>
      <c r="H40" s="89"/>
      <c r="I40" s="93"/>
      <c r="J40" s="94"/>
      <c r="K40" s="95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83"/>
      <c r="BA40" s="70"/>
      <c r="BB40" s="70"/>
      <c r="BC40" s="70"/>
      <c r="BD40" s="70"/>
      <c r="BE40" s="70"/>
      <c r="BF40" s="70"/>
      <c r="BG40" s="72"/>
    </row>
    <row r="41" spans="2:59" ht="7.9" customHeight="1">
      <c r="B41" s="138"/>
      <c r="C41" s="87"/>
      <c r="D41" s="88"/>
      <c r="E41" s="88"/>
      <c r="F41" s="88"/>
      <c r="G41" s="88"/>
      <c r="H41" s="89"/>
      <c r="I41" s="93"/>
      <c r="J41" s="94"/>
      <c r="K41" s="95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73" t="s">
        <v>35</v>
      </c>
      <c r="BA41" s="76" t="s">
        <v>36</v>
      </c>
      <c r="BB41" s="76" t="s">
        <v>37</v>
      </c>
      <c r="BC41" s="76" t="s">
        <v>38</v>
      </c>
      <c r="BD41" s="76" t="s">
        <v>39</v>
      </c>
      <c r="BE41" s="76" t="s">
        <v>40</v>
      </c>
      <c r="BF41" s="76" t="s">
        <v>41</v>
      </c>
      <c r="BG41" s="79" t="s">
        <v>42</v>
      </c>
    </row>
    <row r="42" spans="2:59" ht="7.9" customHeight="1">
      <c r="B42" s="138"/>
      <c r="C42" s="87"/>
      <c r="D42" s="88"/>
      <c r="E42" s="88"/>
      <c r="F42" s="88"/>
      <c r="G42" s="88"/>
      <c r="H42" s="89"/>
      <c r="I42" s="93"/>
      <c r="J42" s="94"/>
      <c r="K42" s="95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74"/>
      <c r="BA42" s="77"/>
      <c r="BB42" s="77"/>
      <c r="BC42" s="77"/>
      <c r="BD42" s="77"/>
      <c r="BE42" s="77"/>
      <c r="BF42" s="77"/>
      <c r="BG42" s="80"/>
    </row>
    <row r="43" spans="2:59" ht="7.9" customHeight="1">
      <c r="B43" s="138"/>
      <c r="C43" s="87"/>
      <c r="D43" s="88"/>
      <c r="E43" s="88"/>
      <c r="F43" s="88"/>
      <c r="G43" s="88"/>
      <c r="H43" s="89"/>
      <c r="I43" s="93"/>
      <c r="J43" s="94"/>
      <c r="K43" s="95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74"/>
      <c r="BA43" s="77"/>
      <c r="BB43" s="77"/>
      <c r="BC43" s="77"/>
      <c r="BD43" s="77"/>
      <c r="BE43" s="77"/>
      <c r="BF43" s="77"/>
      <c r="BG43" s="80"/>
    </row>
    <row r="44" spans="2:59" ht="7.9" customHeight="1">
      <c r="B44" s="138"/>
      <c r="C44" s="100" t="s">
        <v>43</v>
      </c>
      <c r="D44" s="101"/>
      <c r="E44" s="101"/>
      <c r="F44" s="101"/>
      <c r="G44" s="101"/>
      <c r="H44" s="102"/>
      <c r="I44" s="93"/>
      <c r="J44" s="94"/>
      <c r="K44" s="95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74"/>
      <c r="BA44" s="77"/>
      <c r="BB44" s="77"/>
      <c r="BC44" s="77"/>
      <c r="BD44" s="77"/>
      <c r="BE44" s="77"/>
      <c r="BF44" s="77"/>
      <c r="BG44" s="80"/>
    </row>
    <row r="45" spans="2:59" ht="7.9" customHeight="1">
      <c r="B45" s="138"/>
      <c r="C45" s="100"/>
      <c r="D45" s="101"/>
      <c r="E45" s="101"/>
      <c r="F45" s="101"/>
      <c r="G45" s="101"/>
      <c r="H45" s="102"/>
      <c r="I45" s="93"/>
      <c r="J45" s="94"/>
      <c r="K45" s="95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74"/>
      <c r="BA45" s="77"/>
      <c r="BB45" s="77"/>
      <c r="BC45" s="77"/>
      <c r="BD45" s="77"/>
      <c r="BE45" s="77"/>
      <c r="BF45" s="77"/>
      <c r="BG45" s="80"/>
    </row>
    <row r="46" spans="2:59" ht="7.9" customHeight="1">
      <c r="B46" s="138"/>
      <c r="C46" s="87">
        <v>45261</v>
      </c>
      <c r="D46" s="88"/>
      <c r="E46" s="88"/>
      <c r="F46" s="88"/>
      <c r="G46" s="88"/>
      <c r="H46" s="89"/>
      <c r="I46" s="106" t="s">
        <v>44</v>
      </c>
      <c r="J46" s="107"/>
      <c r="K46" s="10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75"/>
      <c r="BA46" s="78"/>
      <c r="BB46" s="78"/>
      <c r="BC46" s="78"/>
      <c r="BD46" s="78"/>
      <c r="BE46" s="78"/>
      <c r="BF46" s="78"/>
      <c r="BG46" s="81"/>
    </row>
    <row r="47" spans="2:59" ht="7.9" customHeight="1">
      <c r="B47" s="138"/>
      <c r="C47" s="87"/>
      <c r="D47" s="88"/>
      <c r="E47" s="88"/>
      <c r="F47" s="88"/>
      <c r="G47" s="88"/>
      <c r="H47" s="89"/>
      <c r="I47" s="106"/>
      <c r="J47" s="107"/>
      <c r="K47" s="10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60" t="s">
        <v>48</v>
      </c>
      <c r="BA47" s="61"/>
      <c r="BB47" s="61"/>
      <c r="BC47" s="61"/>
      <c r="BD47" s="61"/>
      <c r="BE47" s="61"/>
      <c r="BF47" s="61"/>
      <c r="BG47" s="62"/>
    </row>
    <row r="48" spans="2:59" ht="7.9" customHeight="1">
      <c r="B48" s="138"/>
      <c r="C48" s="87"/>
      <c r="D48" s="88"/>
      <c r="E48" s="88"/>
      <c r="F48" s="88"/>
      <c r="G48" s="88"/>
      <c r="H48" s="89"/>
      <c r="I48" s="106"/>
      <c r="J48" s="107"/>
      <c r="K48" s="10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63"/>
      <c r="BA48" s="64"/>
      <c r="BB48" s="64"/>
      <c r="BC48" s="64"/>
      <c r="BD48" s="64"/>
      <c r="BE48" s="64"/>
      <c r="BF48" s="64"/>
      <c r="BG48" s="65"/>
    </row>
    <row r="49" spans="2:59" ht="7.9" customHeight="1">
      <c r="B49" s="138"/>
      <c r="C49" s="87"/>
      <c r="D49" s="88"/>
      <c r="E49" s="88"/>
      <c r="F49" s="88"/>
      <c r="G49" s="88"/>
      <c r="H49" s="89"/>
      <c r="I49" s="106"/>
      <c r="J49" s="107"/>
      <c r="K49" s="10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63" t="s">
        <v>49</v>
      </c>
      <c r="BA49" s="64"/>
      <c r="BB49" s="64"/>
      <c r="BC49" s="64"/>
      <c r="BD49" s="64"/>
      <c r="BE49" s="64"/>
      <c r="BF49" s="64"/>
      <c r="BG49" s="65"/>
    </row>
    <row r="50" spans="2:59" ht="7.9" customHeight="1">
      <c r="B50" s="138"/>
      <c r="C50" s="103"/>
      <c r="D50" s="104"/>
      <c r="E50" s="104"/>
      <c r="F50" s="104"/>
      <c r="G50" s="104"/>
      <c r="H50" s="105"/>
      <c r="I50" s="109"/>
      <c r="J50" s="110"/>
      <c r="K50" s="111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66"/>
      <c r="BA50" s="67"/>
      <c r="BB50" s="67"/>
      <c r="BC50" s="67"/>
      <c r="BD50" s="67"/>
      <c r="BE50" s="67"/>
      <c r="BF50" s="67"/>
      <c r="BG50" s="68"/>
    </row>
    <row r="51" spans="2:59" ht="7.9" customHeight="1">
      <c r="B51" s="138"/>
      <c r="C51" s="296">
        <v>45261</v>
      </c>
      <c r="D51" s="297"/>
      <c r="E51" s="297"/>
      <c r="F51" s="297"/>
      <c r="G51" s="297"/>
      <c r="H51" s="298"/>
      <c r="I51" s="299">
        <f>IF(C58="","",(DATEDIF(C51,C58,"ｍ")+1))</f>
        <v>21</v>
      </c>
      <c r="J51" s="300"/>
      <c r="K51" s="301"/>
      <c r="L51" s="302" t="s">
        <v>50</v>
      </c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 t="s">
        <v>51</v>
      </c>
      <c r="AG51" s="302"/>
      <c r="AH51" s="302"/>
      <c r="AI51" s="302"/>
      <c r="AJ51" s="302"/>
      <c r="AK51" s="302"/>
      <c r="AL51" s="302"/>
      <c r="AM51" s="302"/>
      <c r="AN51" s="302"/>
      <c r="AO51" s="302"/>
      <c r="AP51" s="302" t="s">
        <v>52</v>
      </c>
      <c r="AQ51" s="302"/>
      <c r="AR51" s="302"/>
      <c r="AS51" s="302"/>
      <c r="AT51" s="302"/>
      <c r="AU51" s="302"/>
      <c r="AV51" s="302"/>
      <c r="AW51" s="302"/>
      <c r="AX51" s="302"/>
      <c r="AY51" s="302"/>
      <c r="AZ51" s="82" t="s">
        <v>34</v>
      </c>
      <c r="BA51" s="69" t="s">
        <v>34</v>
      </c>
      <c r="BB51" s="69" t="s">
        <v>34</v>
      </c>
      <c r="BC51" s="69" t="s">
        <v>34</v>
      </c>
      <c r="BD51" s="69"/>
      <c r="BE51" s="69"/>
      <c r="BF51" s="69" t="s">
        <v>34</v>
      </c>
      <c r="BG51" s="71"/>
    </row>
    <row r="52" spans="2:59" ht="7.9" customHeight="1">
      <c r="B52" s="138"/>
      <c r="C52" s="87"/>
      <c r="D52" s="88"/>
      <c r="E52" s="88"/>
      <c r="F52" s="88"/>
      <c r="G52" s="88"/>
      <c r="H52" s="89"/>
      <c r="I52" s="93"/>
      <c r="J52" s="94"/>
      <c r="K52" s="95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83"/>
      <c r="BA52" s="70"/>
      <c r="BB52" s="70"/>
      <c r="BC52" s="70"/>
      <c r="BD52" s="70"/>
      <c r="BE52" s="70"/>
      <c r="BF52" s="70"/>
      <c r="BG52" s="72"/>
    </row>
    <row r="53" spans="2:59" ht="7.9" customHeight="1">
      <c r="B53" s="138"/>
      <c r="C53" s="87"/>
      <c r="D53" s="88"/>
      <c r="E53" s="88"/>
      <c r="F53" s="88"/>
      <c r="G53" s="88"/>
      <c r="H53" s="89"/>
      <c r="I53" s="93"/>
      <c r="J53" s="94"/>
      <c r="K53" s="95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73" t="s">
        <v>35</v>
      </c>
      <c r="BA53" s="76" t="s">
        <v>36</v>
      </c>
      <c r="BB53" s="76" t="s">
        <v>37</v>
      </c>
      <c r="BC53" s="76" t="s">
        <v>38</v>
      </c>
      <c r="BD53" s="76" t="s">
        <v>39</v>
      </c>
      <c r="BE53" s="76" t="s">
        <v>40</v>
      </c>
      <c r="BF53" s="76" t="s">
        <v>41</v>
      </c>
      <c r="BG53" s="79" t="s">
        <v>42</v>
      </c>
    </row>
    <row r="54" spans="2:59" ht="7.9" customHeight="1">
      <c r="B54" s="138"/>
      <c r="C54" s="87"/>
      <c r="D54" s="88"/>
      <c r="E54" s="88"/>
      <c r="F54" s="88"/>
      <c r="G54" s="88"/>
      <c r="H54" s="89"/>
      <c r="I54" s="93"/>
      <c r="J54" s="94"/>
      <c r="K54" s="95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74"/>
      <c r="BA54" s="77"/>
      <c r="BB54" s="77"/>
      <c r="BC54" s="77"/>
      <c r="BD54" s="77"/>
      <c r="BE54" s="77"/>
      <c r="BF54" s="77"/>
      <c r="BG54" s="80"/>
    </row>
    <row r="55" spans="2:59" ht="7.9" customHeight="1">
      <c r="B55" s="138"/>
      <c r="C55" s="87"/>
      <c r="D55" s="88"/>
      <c r="E55" s="88"/>
      <c r="F55" s="88"/>
      <c r="G55" s="88"/>
      <c r="H55" s="89"/>
      <c r="I55" s="93"/>
      <c r="J55" s="94"/>
      <c r="K55" s="95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74"/>
      <c r="BA55" s="77"/>
      <c r="BB55" s="77"/>
      <c r="BC55" s="77"/>
      <c r="BD55" s="77"/>
      <c r="BE55" s="77"/>
      <c r="BF55" s="77"/>
      <c r="BG55" s="80"/>
    </row>
    <row r="56" spans="2:59" ht="7.9" customHeight="1">
      <c r="B56" s="138"/>
      <c r="C56" s="100" t="s">
        <v>43</v>
      </c>
      <c r="D56" s="101"/>
      <c r="E56" s="101"/>
      <c r="F56" s="101"/>
      <c r="G56" s="101"/>
      <c r="H56" s="102"/>
      <c r="I56" s="93"/>
      <c r="J56" s="94"/>
      <c r="K56" s="95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74"/>
      <c r="BA56" s="77"/>
      <c r="BB56" s="77"/>
      <c r="BC56" s="77"/>
      <c r="BD56" s="77"/>
      <c r="BE56" s="77"/>
      <c r="BF56" s="77"/>
      <c r="BG56" s="80"/>
    </row>
    <row r="57" spans="2:59" ht="7.9" customHeight="1">
      <c r="B57" s="138"/>
      <c r="C57" s="100"/>
      <c r="D57" s="101"/>
      <c r="E57" s="101"/>
      <c r="F57" s="101"/>
      <c r="G57" s="101"/>
      <c r="H57" s="102"/>
      <c r="I57" s="93"/>
      <c r="J57" s="94"/>
      <c r="K57" s="95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74"/>
      <c r="BA57" s="77"/>
      <c r="BB57" s="77"/>
      <c r="BC57" s="77"/>
      <c r="BD57" s="77"/>
      <c r="BE57" s="77"/>
      <c r="BF57" s="77"/>
      <c r="BG57" s="80"/>
    </row>
    <row r="58" spans="2:59" ht="7.9" customHeight="1">
      <c r="B58" s="138"/>
      <c r="C58" s="87">
        <v>45870</v>
      </c>
      <c r="D58" s="88"/>
      <c r="E58" s="88"/>
      <c r="F58" s="88"/>
      <c r="G58" s="88"/>
      <c r="H58" s="89"/>
      <c r="I58" s="106" t="s">
        <v>44</v>
      </c>
      <c r="J58" s="107"/>
      <c r="K58" s="10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75"/>
      <c r="BA58" s="78"/>
      <c r="BB58" s="78"/>
      <c r="BC58" s="78"/>
      <c r="BD58" s="78"/>
      <c r="BE58" s="78"/>
      <c r="BF58" s="78"/>
      <c r="BG58" s="81"/>
    </row>
    <row r="59" spans="2:59" ht="7.9" customHeight="1">
      <c r="B59" s="138"/>
      <c r="C59" s="87"/>
      <c r="D59" s="88"/>
      <c r="E59" s="88"/>
      <c r="F59" s="88"/>
      <c r="G59" s="88"/>
      <c r="H59" s="89"/>
      <c r="I59" s="106"/>
      <c r="J59" s="107"/>
      <c r="K59" s="10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60" t="s">
        <v>48</v>
      </c>
      <c r="BA59" s="61"/>
      <c r="BB59" s="61"/>
      <c r="BC59" s="61"/>
      <c r="BD59" s="61"/>
      <c r="BE59" s="61"/>
      <c r="BF59" s="61"/>
      <c r="BG59" s="62"/>
    </row>
    <row r="60" spans="2:59" ht="7.9" customHeight="1">
      <c r="B60" s="138"/>
      <c r="C60" s="87"/>
      <c r="D60" s="88"/>
      <c r="E60" s="88"/>
      <c r="F60" s="88"/>
      <c r="G60" s="88"/>
      <c r="H60" s="89"/>
      <c r="I60" s="106"/>
      <c r="J60" s="107"/>
      <c r="K60" s="10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63"/>
      <c r="BA60" s="64"/>
      <c r="BB60" s="64"/>
      <c r="BC60" s="64"/>
      <c r="BD60" s="64"/>
      <c r="BE60" s="64"/>
      <c r="BF60" s="64"/>
      <c r="BG60" s="65"/>
    </row>
    <row r="61" spans="2:59" ht="7.9" customHeight="1">
      <c r="B61" s="138"/>
      <c r="C61" s="87"/>
      <c r="D61" s="88"/>
      <c r="E61" s="88"/>
      <c r="F61" s="88"/>
      <c r="G61" s="88"/>
      <c r="H61" s="89"/>
      <c r="I61" s="106"/>
      <c r="J61" s="107"/>
      <c r="K61" s="10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63" t="s">
        <v>53</v>
      </c>
      <c r="BA61" s="64"/>
      <c r="BB61" s="64"/>
      <c r="BC61" s="64"/>
      <c r="BD61" s="64"/>
      <c r="BE61" s="64"/>
      <c r="BF61" s="64"/>
      <c r="BG61" s="65"/>
    </row>
    <row r="62" spans="2:59" ht="7.9" customHeight="1">
      <c r="B62" s="138"/>
      <c r="C62" s="103"/>
      <c r="D62" s="104"/>
      <c r="E62" s="104"/>
      <c r="F62" s="104"/>
      <c r="G62" s="104"/>
      <c r="H62" s="105"/>
      <c r="I62" s="109"/>
      <c r="J62" s="110"/>
      <c r="K62" s="111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66"/>
      <c r="BA62" s="67"/>
      <c r="BB62" s="67"/>
      <c r="BC62" s="67"/>
      <c r="BD62" s="67"/>
      <c r="BE62" s="67"/>
      <c r="BF62" s="67"/>
      <c r="BG62" s="68"/>
    </row>
    <row r="63" spans="2:59" ht="7.9" customHeight="1">
      <c r="B63" s="138"/>
      <c r="C63" s="87">
        <v>45748</v>
      </c>
      <c r="D63" s="88"/>
      <c r="E63" s="88"/>
      <c r="F63" s="88"/>
      <c r="G63" s="88"/>
      <c r="H63" s="89"/>
      <c r="I63" s="93">
        <f>IF(C70="","",(DATEDIF(C63,C70,"ｍ")+1))</f>
        <v>7</v>
      </c>
      <c r="J63" s="94"/>
      <c r="K63" s="95"/>
      <c r="L63" s="98" t="s">
        <v>54</v>
      </c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98" t="s">
        <v>55</v>
      </c>
      <c r="AG63" s="98"/>
      <c r="AH63" s="98"/>
      <c r="AI63" s="98"/>
      <c r="AJ63" s="98"/>
      <c r="AK63" s="98"/>
      <c r="AL63" s="98"/>
      <c r="AM63" s="98"/>
      <c r="AN63" s="98"/>
      <c r="AO63" s="98"/>
      <c r="AP63" s="98" t="s">
        <v>56</v>
      </c>
      <c r="AQ63" s="98"/>
      <c r="AR63" s="98"/>
      <c r="AS63" s="98"/>
      <c r="AT63" s="98"/>
      <c r="AU63" s="98"/>
      <c r="AV63" s="98"/>
      <c r="AW63" s="98"/>
      <c r="AX63" s="98"/>
      <c r="AY63" s="98"/>
      <c r="AZ63" s="82" t="s">
        <v>34</v>
      </c>
      <c r="BA63" s="69" t="s">
        <v>34</v>
      </c>
      <c r="BB63" s="69" t="s">
        <v>34</v>
      </c>
      <c r="BC63" s="69" t="s">
        <v>34</v>
      </c>
      <c r="BD63" s="69"/>
      <c r="BE63" s="69" t="s">
        <v>34</v>
      </c>
      <c r="BF63" s="69" t="s">
        <v>34</v>
      </c>
      <c r="BG63" s="71"/>
    </row>
    <row r="64" spans="2:59" ht="7.9" customHeight="1">
      <c r="B64" s="138"/>
      <c r="C64" s="87"/>
      <c r="D64" s="88"/>
      <c r="E64" s="88"/>
      <c r="F64" s="88"/>
      <c r="G64" s="88"/>
      <c r="H64" s="89"/>
      <c r="I64" s="93"/>
      <c r="J64" s="94"/>
      <c r="K64" s="95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83"/>
      <c r="BA64" s="70"/>
      <c r="BB64" s="70"/>
      <c r="BC64" s="70"/>
      <c r="BD64" s="70"/>
      <c r="BE64" s="70"/>
      <c r="BF64" s="70"/>
      <c r="BG64" s="72"/>
    </row>
    <row r="65" spans="2:59" ht="7.9" customHeight="1">
      <c r="B65" s="138"/>
      <c r="C65" s="87"/>
      <c r="D65" s="88"/>
      <c r="E65" s="88"/>
      <c r="F65" s="88"/>
      <c r="G65" s="88"/>
      <c r="H65" s="89"/>
      <c r="I65" s="93"/>
      <c r="J65" s="94"/>
      <c r="K65" s="95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73" t="s">
        <v>35</v>
      </c>
      <c r="BA65" s="76" t="s">
        <v>36</v>
      </c>
      <c r="BB65" s="76" t="s">
        <v>37</v>
      </c>
      <c r="BC65" s="76" t="s">
        <v>38</v>
      </c>
      <c r="BD65" s="76" t="s">
        <v>39</v>
      </c>
      <c r="BE65" s="76" t="s">
        <v>40</v>
      </c>
      <c r="BF65" s="76" t="s">
        <v>41</v>
      </c>
      <c r="BG65" s="79" t="s">
        <v>42</v>
      </c>
    </row>
    <row r="66" spans="2:59" ht="7.9" customHeight="1">
      <c r="B66" s="138"/>
      <c r="C66" s="87"/>
      <c r="D66" s="88"/>
      <c r="E66" s="88"/>
      <c r="F66" s="88"/>
      <c r="G66" s="88"/>
      <c r="H66" s="89"/>
      <c r="I66" s="93"/>
      <c r="J66" s="94"/>
      <c r="K66" s="95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74"/>
      <c r="BA66" s="77"/>
      <c r="BB66" s="77"/>
      <c r="BC66" s="77"/>
      <c r="BD66" s="77"/>
      <c r="BE66" s="77"/>
      <c r="BF66" s="77"/>
      <c r="BG66" s="80"/>
    </row>
    <row r="67" spans="2:59" ht="7.9" customHeight="1">
      <c r="B67" s="138"/>
      <c r="C67" s="87"/>
      <c r="D67" s="88"/>
      <c r="E67" s="88"/>
      <c r="F67" s="88"/>
      <c r="G67" s="88"/>
      <c r="H67" s="89"/>
      <c r="I67" s="93"/>
      <c r="J67" s="94"/>
      <c r="K67" s="95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74"/>
      <c r="BA67" s="77"/>
      <c r="BB67" s="77"/>
      <c r="BC67" s="77"/>
      <c r="BD67" s="77"/>
      <c r="BE67" s="77"/>
      <c r="BF67" s="77"/>
      <c r="BG67" s="80"/>
    </row>
    <row r="68" spans="2:59" ht="7.9" customHeight="1">
      <c r="B68" s="138"/>
      <c r="C68" s="100" t="s">
        <v>43</v>
      </c>
      <c r="D68" s="101"/>
      <c r="E68" s="101"/>
      <c r="F68" s="101"/>
      <c r="G68" s="101"/>
      <c r="H68" s="102"/>
      <c r="I68" s="93"/>
      <c r="J68" s="94"/>
      <c r="K68" s="95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74"/>
      <c r="BA68" s="77"/>
      <c r="BB68" s="77"/>
      <c r="BC68" s="77"/>
      <c r="BD68" s="77"/>
      <c r="BE68" s="77"/>
      <c r="BF68" s="77"/>
      <c r="BG68" s="80"/>
    </row>
    <row r="69" spans="2:59" ht="7.9" customHeight="1">
      <c r="B69" s="138"/>
      <c r="C69" s="100"/>
      <c r="D69" s="101"/>
      <c r="E69" s="101"/>
      <c r="F69" s="101"/>
      <c r="G69" s="101"/>
      <c r="H69" s="102"/>
      <c r="I69" s="93"/>
      <c r="J69" s="94"/>
      <c r="K69" s="95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74"/>
      <c r="BA69" s="77"/>
      <c r="BB69" s="77"/>
      <c r="BC69" s="77"/>
      <c r="BD69" s="77"/>
      <c r="BE69" s="77"/>
      <c r="BF69" s="77"/>
      <c r="BG69" s="80"/>
    </row>
    <row r="70" spans="2:59" ht="7.9" customHeight="1">
      <c r="B70" s="138"/>
      <c r="C70" s="87">
        <v>45931</v>
      </c>
      <c r="D70" s="88"/>
      <c r="E70" s="88"/>
      <c r="F70" s="88"/>
      <c r="G70" s="88"/>
      <c r="H70" s="89"/>
      <c r="I70" s="106" t="s">
        <v>44</v>
      </c>
      <c r="J70" s="107"/>
      <c r="K70" s="108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75"/>
      <c r="BA70" s="78"/>
      <c r="BB70" s="78"/>
      <c r="BC70" s="78"/>
      <c r="BD70" s="78"/>
      <c r="BE70" s="78"/>
      <c r="BF70" s="78"/>
      <c r="BG70" s="81"/>
    </row>
    <row r="71" spans="2:59" ht="7.9" customHeight="1">
      <c r="B71" s="138"/>
      <c r="C71" s="87"/>
      <c r="D71" s="88"/>
      <c r="E71" s="88"/>
      <c r="F71" s="88"/>
      <c r="G71" s="88"/>
      <c r="H71" s="89"/>
      <c r="I71" s="106"/>
      <c r="J71" s="107"/>
      <c r="K71" s="108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60" t="s">
        <v>48</v>
      </c>
      <c r="BA71" s="61"/>
      <c r="BB71" s="61"/>
      <c r="BC71" s="61"/>
      <c r="BD71" s="61"/>
      <c r="BE71" s="61"/>
      <c r="BF71" s="61"/>
      <c r="BG71" s="62"/>
    </row>
    <row r="72" spans="2:59" ht="7.9" customHeight="1">
      <c r="B72" s="138"/>
      <c r="C72" s="87"/>
      <c r="D72" s="88"/>
      <c r="E72" s="88"/>
      <c r="F72" s="88"/>
      <c r="G72" s="88"/>
      <c r="H72" s="89"/>
      <c r="I72" s="106"/>
      <c r="J72" s="107"/>
      <c r="K72" s="108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63"/>
      <c r="BA72" s="64"/>
      <c r="BB72" s="64"/>
      <c r="BC72" s="64"/>
      <c r="BD72" s="64"/>
      <c r="BE72" s="64"/>
      <c r="BF72" s="64"/>
      <c r="BG72" s="65"/>
    </row>
    <row r="73" spans="2:59" ht="7.9" customHeight="1">
      <c r="B73" s="138"/>
      <c r="C73" s="87"/>
      <c r="D73" s="88"/>
      <c r="E73" s="88"/>
      <c r="F73" s="88"/>
      <c r="G73" s="88"/>
      <c r="H73" s="89"/>
      <c r="I73" s="106"/>
      <c r="J73" s="107"/>
      <c r="K73" s="108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63" t="s">
        <v>57</v>
      </c>
      <c r="BA73" s="64"/>
      <c r="BB73" s="64"/>
      <c r="BC73" s="64"/>
      <c r="BD73" s="64"/>
      <c r="BE73" s="64"/>
      <c r="BF73" s="64"/>
      <c r="BG73" s="65"/>
    </row>
    <row r="74" spans="2:59" ht="7.9" customHeight="1">
      <c r="B74" s="139"/>
      <c r="C74" s="140"/>
      <c r="D74" s="141"/>
      <c r="E74" s="141"/>
      <c r="F74" s="141"/>
      <c r="G74" s="141"/>
      <c r="H74" s="142"/>
      <c r="I74" s="154"/>
      <c r="J74" s="155"/>
      <c r="K74" s="156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153"/>
      <c r="AG74" s="153"/>
      <c r="AH74" s="153"/>
      <c r="AI74" s="153"/>
      <c r="AJ74" s="153"/>
      <c r="AK74" s="153"/>
      <c r="AL74" s="153"/>
      <c r="AM74" s="153"/>
      <c r="AN74" s="153"/>
      <c r="AO74" s="153"/>
      <c r="AP74" s="153"/>
      <c r="AQ74" s="153"/>
      <c r="AR74" s="153"/>
      <c r="AS74" s="153"/>
      <c r="AT74" s="153"/>
      <c r="AU74" s="153"/>
      <c r="AV74" s="153"/>
      <c r="AW74" s="153"/>
      <c r="AX74" s="153"/>
      <c r="AY74" s="153"/>
      <c r="AZ74" s="66"/>
      <c r="BA74" s="67"/>
      <c r="BB74" s="67"/>
      <c r="BC74" s="67"/>
      <c r="BD74" s="67"/>
      <c r="BE74" s="67"/>
      <c r="BF74" s="67"/>
      <c r="BG74" s="68"/>
    </row>
    <row r="75" spans="2:59" ht="13.9" customHeight="1">
      <c r="B75" s="143">
        <v>3</v>
      </c>
      <c r="C75" s="87">
        <v>45992</v>
      </c>
      <c r="D75" s="88"/>
      <c r="E75" s="88"/>
      <c r="F75" s="88"/>
      <c r="G75" s="88"/>
      <c r="H75" s="89"/>
      <c r="I75" s="93">
        <f>IF(C82="","",(DATEDIF(C75,C82,"ｍ")+1))</f>
        <v>1</v>
      </c>
      <c r="J75" s="94"/>
      <c r="K75" s="95"/>
      <c r="L75" s="144" t="s">
        <v>58</v>
      </c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6"/>
      <c r="AF75" s="98" t="s">
        <v>59</v>
      </c>
      <c r="AG75" s="98"/>
      <c r="AH75" s="98"/>
      <c r="AI75" s="98"/>
      <c r="AJ75" s="98"/>
      <c r="AK75" s="98"/>
      <c r="AL75" s="98"/>
      <c r="AM75" s="98"/>
      <c r="AN75" s="98"/>
      <c r="AO75" s="98"/>
      <c r="AP75" s="97" t="s">
        <v>60</v>
      </c>
      <c r="AQ75" s="97"/>
      <c r="AR75" s="97"/>
      <c r="AS75" s="97"/>
      <c r="AT75" s="97"/>
      <c r="AU75" s="97"/>
      <c r="AV75" s="97"/>
      <c r="AW75" s="97"/>
      <c r="AX75" s="97"/>
      <c r="AY75" s="97"/>
      <c r="AZ75" s="82"/>
      <c r="BA75" s="69" t="s">
        <v>34</v>
      </c>
      <c r="BB75" s="69" t="s">
        <v>34</v>
      </c>
      <c r="BC75" s="69" t="s">
        <v>34</v>
      </c>
      <c r="BD75" s="69" t="s">
        <v>34</v>
      </c>
      <c r="BE75" s="69"/>
      <c r="BF75" s="69"/>
      <c r="BG75" s="71" t="s">
        <v>34</v>
      </c>
    </row>
    <row r="76" spans="2:59" ht="13.9" customHeight="1">
      <c r="B76" s="138"/>
      <c r="C76" s="87"/>
      <c r="D76" s="88"/>
      <c r="E76" s="88"/>
      <c r="F76" s="88"/>
      <c r="G76" s="88"/>
      <c r="H76" s="89"/>
      <c r="I76" s="93"/>
      <c r="J76" s="94"/>
      <c r="K76" s="95"/>
      <c r="L76" s="147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  <c r="AA76" s="148"/>
      <c r="AB76" s="148"/>
      <c r="AC76" s="148"/>
      <c r="AD76" s="148"/>
      <c r="AE76" s="149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83"/>
      <c r="BA76" s="70"/>
      <c r="BB76" s="70"/>
      <c r="BC76" s="70"/>
      <c r="BD76" s="70"/>
      <c r="BE76" s="70"/>
      <c r="BF76" s="70"/>
      <c r="BG76" s="72"/>
    </row>
    <row r="77" spans="2:59" ht="13.9" customHeight="1">
      <c r="B77" s="138"/>
      <c r="C77" s="87"/>
      <c r="D77" s="88"/>
      <c r="E77" s="88"/>
      <c r="F77" s="88"/>
      <c r="G77" s="88"/>
      <c r="H77" s="89"/>
      <c r="I77" s="93"/>
      <c r="J77" s="94"/>
      <c r="K77" s="95"/>
      <c r="L77" s="147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  <c r="AA77" s="148"/>
      <c r="AB77" s="148"/>
      <c r="AC77" s="148"/>
      <c r="AD77" s="148"/>
      <c r="AE77" s="149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73" t="s">
        <v>35</v>
      </c>
      <c r="BA77" s="76" t="s">
        <v>36</v>
      </c>
      <c r="BB77" s="76" t="s">
        <v>37</v>
      </c>
      <c r="BC77" s="76" t="s">
        <v>38</v>
      </c>
      <c r="BD77" s="76" t="s">
        <v>39</v>
      </c>
      <c r="BE77" s="76" t="s">
        <v>40</v>
      </c>
      <c r="BF77" s="76" t="s">
        <v>41</v>
      </c>
      <c r="BG77" s="79" t="s">
        <v>42</v>
      </c>
    </row>
    <row r="78" spans="2:59" ht="13.9" customHeight="1">
      <c r="B78" s="138"/>
      <c r="C78" s="87"/>
      <c r="D78" s="88"/>
      <c r="E78" s="88"/>
      <c r="F78" s="88"/>
      <c r="G78" s="88"/>
      <c r="H78" s="89"/>
      <c r="I78" s="93"/>
      <c r="J78" s="94"/>
      <c r="K78" s="95"/>
      <c r="L78" s="147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  <c r="AA78" s="148"/>
      <c r="AB78" s="148"/>
      <c r="AC78" s="148"/>
      <c r="AD78" s="148"/>
      <c r="AE78" s="149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74"/>
      <c r="BA78" s="77"/>
      <c r="BB78" s="77"/>
      <c r="BC78" s="77"/>
      <c r="BD78" s="77"/>
      <c r="BE78" s="77"/>
      <c r="BF78" s="77"/>
      <c r="BG78" s="80"/>
    </row>
    <row r="79" spans="2:59" ht="13.9" customHeight="1">
      <c r="B79" s="138"/>
      <c r="C79" s="87"/>
      <c r="D79" s="88"/>
      <c r="E79" s="88"/>
      <c r="F79" s="88"/>
      <c r="G79" s="88"/>
      <c r="H79" s="89"/>
      <c r="I79" s="93"/>
      <c r="J79" s="94"/>
      <c r="K79" s="95"/>
      <c r="L79" s="147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  <c r="AA79" s="148"/>
      <c r="AB79" s="148"/>
      <c r="AC79" s="148"/>
      <c r="AD79" s="148"/>
      <c r="AE79" s="149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74"/>
      <c r="BA79" s="77"/>
      <c r="BB79" s="77"/>
      <c r="BC79" s="77"/>
      <c r="BD79" s="77"/>
      <c r="BE79" s="77"/>
      <c r="BF79" s="77"/>
      <c r="BG79" s="80"/>
    </row>
    <row r="80" spans="2:59" ht="13.9" customHeight="1">
      <c r="B80" s="138"/>
      <c r="C80" s="100" t="s">
        <v>43</v>
      </c>
      <c r="D80" s="101"/>
      <c r="E80" s="101"/>
      <c r="F80" s="101"/>
      <c r="G80" s="101"/>
      <c r="H80" s="102"/>
      <c r="I80" s="93"/>
      <c r="J80" s="94"/>
      <c r="K80" s="95"/>
      <c r="L80" s="147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9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74"/>
      <c r="BA80" s="77"/>
      <c r="BB80" s="77"/>
      <c r="BC80" s="77"/>
      <c r="BD80" s="77"/>
      <c r="BE80" s="77"/>
      <c r="BF80" s="77"/>
      <c r="BG80" s="80"/>
    </row>
    <row r="81" spans="2:59" ht="13.9" customHeight="1">
      <c r="B81" s="138"/>
      <c r="C81" s="100"/>
      <c r="D81" s="101"/>
      <c r="E81" s="101"/>
      <c r="F81" s="101"/>
      <c r="G81" s="101"/>
      <c r="H81" s="102"/>
      <c r="I81" s="93"/>
      <c r="J81" s="94"/>
      <c r="K81" s="95"/>
      <c r="L81" s="147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  <c r="AC81" s="148"/>
      <c r="AD81" s="148"/>
      <c r="AE81" s="149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74"/>
      <c r="BA81" s="77"/>
      <c r="BB81" s="77"/>
      <c r="BC81" s="77"/>
      <c r="BD81" s="77"/>
      <c r="BE81" s="77"/>
      <c r="BF81" s="77"/>
      <c r="BG81" s="80"/>
    </row>
    <row r="82" spans="2:59" ht="13.9" customHeight="1">
      <c r="B82" s="138"/>
      <c r="C82" s="87">
        <v>45992</v>
      </c>
      <c r="D82" s="88"/>
      <c r="E82" s="88"/>
      <c r="F82" s="88"/>
      <c r="G82" s="88"/>
      <c r="H82" s="89"/>
      <c r="I82" s="106" t="s">
        <v>44</v>
      </c>
      <c r="J82" s="107"/>
      <c r="K82" s="108"/>
      <c r="L82" s="147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  <c r="AA82" s="148"/>
      <c r="AB82" s="148"/>
      <c r="AC82" s="148"/>
      <c r="AD82" s="148"/>
      <c r="AE82" s="149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75"/>
      <c r="BA82" s="78"/>
      <c r="BB82" s="78"/>
      <c r="BC82" s="78"/>
      <c r="BD82" s="78"/>
      <c r="BE82" s="78"/>
      <c r="BF82" s="78"/>
      <c r="BG82" s="81"/>
    </row>
    <row r="83" spans="2:59" ht="13.9" customHeight="1">
      <c r="B83" s="138"/>
      <c r="C83" s="87"/>
      <c r="D83" s="88"/>
      <c r="E83" s="88"/>
      <c r="F83" s="88"/>
      <c r="G83" s="88"/>
      <c r="H83" s="89"/>
      <c r="I83" s="106"/>
      <c r="J83" s="107"/>
      <c r="K83" s="108"/>
      <c r="L83" s="147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  <c r="AA83" s="148"/>
      <c r="AB83" s="148"/>
      <c r="AC83" s="148"/>
      <c r="AD83" s="148"/>
      <c r="AE83" s="149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60"/>
      <c r="BA83" s="61"/>
      <c r="BB83" s="61"/>
      <c r="BC83" s="61"/>
      <c r="BD83" s="61"/>
      <c r="BE83" s="61"/>
      <c r="BF83" s="61"/>
      <c r="BG83" s="62"/>
    </row>
    <row r="84" spans="2:59" ht="13.9" customHeight="1">
      <c r="B84" s="138"/>
      <c r="C84" s="87"/>
      <c r="D84" s="88"/>
      <c r="E84" s="88"/>
      <c r="F84" s="88"/>
      <c r="G84" s="88"/>
      <c r="H84" s="89"/>
      <c r="I84" s="106"/>
      <c r="J84" s="107"/>
      <c r="K84" s="108"/>
      <c r="L84" s="147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  <c r="AD84" s="148"/>
      <c r="AE84" s="149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63"/>
      <c r="BA84" s="64"/>
      <c r="BB84" s="64"/>
      <c r="BC84" s="64"/>
      <c r="BD84" s="64"/>
      <c r="BE84" s="64"/>
      <c r="BF84" s="64"/>
      <c r="BG84" s="65"/>
    </row>
    <row r="85" spans="2:59" ht="13.9" customHeight="1">
      <c r="B85" s="138"/>
      <c r="C85" s="87"/>
      <c r="D85" s="88"/>
      <c r="E85" s="88"/>
      <c r="F85" s="88"/>
      <c r="G85" s="88"/>
      <c r="H85" s="89"/>
      <c r="I85" s="106"/>
      <c r="J85" s="107"/>
      <c r="K85" s="108"/>
      <c r="L85" s="147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  <c r="AA85" s="148"/>
      <c r="AB85" s="148"/>
      <c r="AC85" s="148"/>
      <c r="AD85" s="148"/>
      <c r="AE85" s="149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63"/>
      <c r="BA85" s="64"/>
      <c r="BB85" s="64"/>
      <c r="BC85" s="64"/>
      <c r="BD85" s="64"/>
      <c r="BE85" s="64"/>
      <c r="BF85" s="64"/>
      <c r="BG85" s="65"/>
    </row>
    <row r="86" spans="2:59" ht="13.9" customHeight="1" thickBot="1">
      <c r="B86" s="139"/>
      <c r="C86" s="140"/>
      <c r="D86" s="141"/>
      <c r="E86" s="141"/>
      <c r="F86" s="141"/>
      <c r="G86" s="141"/>
      <c r="H86" s="142"/>
      <c r="I86" s="154"/>
      <c r="J86" s="155"/>
      <c r="K86" s="156"/>
      <c r="L86" s="150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  <c r="AC86" s="151"/>
      <c r="AD86" s="151"/>
      <c r="AE86" s="152"/>
      <c r="AF86" s="153"/>
      <c r="AG86" s="153"/>
      <c r="AH86" s="153"/>
      <c r="AI86" s="153"/>
      <c r="AJ86" s="153"/>
      <c r="AK86" s="153"/>
      <c r="AL86" s="153"/>
      <c r="AM86" s="153"/>
      <c r="AN86" s="153"/>
      <c r="AO86" s="153"/>
      <c r="AP86" s="153"/>
      <c r="AQ86" s="153"/>
      <c r="AR86" s="153"/>
      <c r="AS86" s="153"/>
      <c r="AT86" s="153"/>
      <c r="AU86" s="153"/>
      <c r="AV86" s="153"/>
      <c r="AW86" s="153"/>
      <c r="AX86" s="153"/>
      <c r="AY86" s="153"/>
      <c r="AZ86" s="66"/>
      <c r="BA86" s="67"/>
      <c r="BB86" s="67"/>
      <c r="BC86" s="67"/>
      <c r="BD86" s="67"/>
      <c r="BE86" s="67"/>
      <c r="BF86" s="67"/>
      <c r="BG86" s="68"/>
    </row>
    <row r="87" spans="2:59" ht="7.5" customHeight="1">
      <c r="B87" s="303">
        <v>4</v>
      </c>
      <c r="C87" s="84">
        <v>46027</v>
      </c>
      <c r="D87" s="85"/>
      <c r="E87" s="85"/>
      <c r="F87" s="85"/>
      <c r="G87" s="85"/>
      <c r="H87" s="86"/>
      <c r="I87" s="90">
        <f ca="1">IF(C94="","",(DATEDIF(C87,C94,"ｍ")+1))</f>
        <v>7</v>
      </c>
      <c r="J87" s="91"/>
      <c r="K87" s="92"/>
      <c r="L87" s="97" t="s">
        <v>61</v>
      </c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  <c r="AU87" s="97"/>
      <c r="AV87" s="97"/>
      <c r="AW87" s="97"/>
      <c r="AX87" s="97"/>
      <c r="AY87" s="97"/>
      <c r="AZ87" s="307"/>
      <c r="BA87" s="308"/>
      <c r="BB87" s="308"/>
      <c r="BC87" s="308"/>
      <c r="BD87" s="308"/>
      <c r="BE87" s="308"/>
      <c r="BF87" s="308"/>
      <c r="BG87" s="318" t="s">
        <v>34</v>
      </c>
    </row>
    <row r="88" spans="2:59" ht="7.5" customHeight="1">
      <c r="B88" s="304"/>
      <c r="C88" s="87"/>
      <c r="D88" s="88"/>
      <c r="E88" s="88"/>
      <c r="F88" s="88"/>
      <c r="G88" s="88"/>
      <c r="H88" s="89"/>
      <c r="I88" s="93"/>
      <c r="J88" s="94"/>
      <c r="K88" s="95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83"/>
      <c r="BA88" s="70"/>
      <c r="BB88" s="70"/>
      <c r="BC88" s="70"/>
      <c r="BD88" s="70"/>
      <c r="BE88" s="70"/>
      <c r="BF88" s="70"/>
      <c r="BG88" s="72"/>
    </row>
    <row r="89" spans="2:59" ht="7.5" customHeight="1">
      <c r="B89" s="304"/>
      <c r="C89" s="87"/>
      <c r="D89" s="88"/>
      <c r="E89" s="88"/>
      <c r="F89" s="88"/>
      <c r="G89" s="88"/>
      <c r="H89" s="89"/>
      <c r="I89" s="93"/>
      <c r="J89" s="94"/>
      <c r="K89" s="95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73" t="s">
        <v>35</v>
      </c>
      <c r="BA89" s="76" t="s">
        <v>36</v>
      </c>
      <c r="BB89" s="76" t="s">
        <v>37</v>
      </c>
      <c r="BC89" s="76" t="s">
        <v>38</v>
      </c>
      <c r="BD89" s="76" t="s">
        <v>39</v>
      </c>
      <c r="BE89" s="76" t="s">
        <v>40</v>
      </c>
      <c r="BF89" s="76" t="s">
        <v>41</v>
      </c>
      <c r="BG89" s="79" t="s">
        <v>42</v>
      </c>
    </row>
    <row r="90" spans="2:59" ht="7.5" customHeight="1">
      <c r="B90" s="304"/>
      <c r="C90" s="87"/>
      <c r="D90" s="88"/>
      <c r="E90" s="88"/>
      <c r="F90" s="88"/>
      <c r="G90" s="88"/>
      <c r="H90" s="89"/>
      <c r="I90" s="93"/>
      <c r="J90" s="94"/>
      <c r="K90" s="95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74"/>
      <c r="BA90" s="77"/>
      <c r="BB90" s="77"/>
      <c r="BC90" s="77"/>
      <c r="BD90" s="77"/>
      <c r="BE90" s="77"/>
      <c r="BF90" s="77"/>
      <c r="BG90" s="80"/>
    </row>
    <row r="91" spans="2:59" ht="7.5" customHeight="1">
      <c r="B91" s="304"/>
      <c r="C91" s="87"/>
      <c r="D91" s="88"/>
      <c r="E91" s="88"/>
      <c r="F91" s="88"/>
      <c r="G91" s="88"/>
      <c r="H91" s="89"/>
      <c r="I91" s="93"/>
      <c r="J91" s="94"/>
      <c r="K91" s="95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74"/>
      <c r="BA91" s="77"/>
      <c r="BB91" s="77"/>
      <c r="BC91" s="77"/>
      <c r="BD91" s="77"/>
      <c r="BE91" s="77"/>
      <c r="BF91" s="77"/>
      <c r="BG91" s="80"/>
    </row>
    <row r="92" spans="2:59" ht="7.5" customHeight="1">
      <c r="B92" s="304"/>
      <c r="C92" s="100" t="s">
        <v>43</v>
      </c>
      <c r="D92" s="101"/>
      <c r="E92" s="101"/>
      <c r="F92" s="101"/>
      <c r="G92" s="101"/>
      <c r="H92" s="102"/>
      <c r="I92" s="93"/>
      <c r="J92" s="94"/>
      <c r="K92" s="95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74"/>
      <c r="BA92" s="77"/>
      <c r="BB92" s="77"/>
      <c r="BC92" s="77"/>
      <c r="BD92" s="77"/>
      <c r="BE92" s="77"/>
      <c r="BF92" s="77"/>
      <c r="BG92" s="80"/>
    </row>
    <row r="93" spans="2:59" ht="7.5" customHeight="1">
      <c r="B93" s="304"/>
      <c r="C93" s="100"/>
      <c r="D93" s="101"/>
      <c r="E93" s="101"/>
      <c r="F93" s="101"/>
      <c r="G93" s="101"/>
      <c r="H93" s="102"/>
      <c r="I93" s="93"/>
      <c r="J93" s="94"/>
      <c r="K93" s="95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74"/>
      <c r="BA93" s="77"/>
      <c r="BB93" s="77"/>
      <c r="BC93" s="77"/>
      <c r="BD93" s="77"/>
      <c r="BE93" s="77"/>
      <c r="BF93" s="77"/>
      <c r="BG93" s="80"/>
    </row>
    <row r="94" spans="2:59" ht="7.5" customHeight="1">
      <c r="B94" s="304"/>
      <c r="C94" s="87">
        <f ca="1">TODAY()</f>
        <v>46226</v>
      </c>
      <c r="D94" s="88"/>
      <c r="E94" s="88"/>
      <c r="F94" s="88"/>
      <c r="G94" s="88"/>
      <c r="H94" s="89"/>
      <c r="I94" s="106" t="s">
        <v>44</v>
      </c>
      <c r="J94" s="107"/>
      <c r="K94" s="10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75"/>
      <c r="BA94" s="78"/>
      <c r="BB94" s="78"/>
      <c r="BC94" s="78"/>
      <c r="BD94" s="78"/>
      <c r="BE94" s="78"/>
      <c r="BF94" s="78"/>
      <c r="BG94" s="81"/>
    </row>
    <row r="95" spans="2:59" ht="7.5" customHeight="1">
      <c r="B95" s="304"/>
      <c r="C95" s="87"/>
      <c r="D95" s="88"/>
      <c r="E95" s="88"/>
      <c r="F95" s="88"/>
      <c r="G95" s="88"/>
      <c r="H95" s="89"/>
      <c r="I95" s="106"/>
      <c r="J95" s="107"/>
      <c r="K95" s="10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60"/>
      <c r="BA95" s="61"/>
      <c r="BB95" s="61"/>
      <c r="BC95" s="61"/>
      <c r="BD95" s="61"/>
      <c r="BE95" s="61"/>
      <c r="BF95" s="61"/>
      <c r="BG95" s="62"/>
    </row>
    <row r="96" spans="2:59" ht="7.5" customHeight="1">
      <c r="B96" s="304"/>
      <c r="C96" s="87"/>
      <c r="D96" s="88"/>
      <c r="E96" s="88"/>
      <c r="F96" s="88"/>
      <c r="G96" s="88"/>
      <c r="H96" s="89"/>
      <c r="I96" s="106"/>
      <c r="J96" s="107"/>
      <c r="K96" s="10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63"/>
      <c r="BA96" s="64"/>
      <c r="BB96" s="64"/>
      <c r="BC96" s="64"/>
      <c r="BD96" s="64"/>
      <c r="BE96" s="64"/>
      <c r="BF96" s="64"/>
      <c r="BG96" s="65"/>
    </row>
    <row r="97" spans="2:59" ht="7.5" customHeight="1">
      <c r="B97" s="304"/>
      <c r="C97" s="87"/>
      <c r="D97" s="88"/>
      <c r="E97" s="88"/>
      <c r="F97" s="88"/>
      <c r="G97" s="88"/>
      <c r="H97" s="89"/>
      <c r="I97" s="106"/>
      <c r="J97" s="107"/>
      <c r="K97" s="10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63"/>
      <c r="BA97" s="64"/>
      <c r="BB97" s="64"/>
      <c r="BC97" s="64"/>
      <c r="BD97" s="64"/>
      <c r="BE97" s="64"/>
      <c r="BF97" s="64"/>
      <c r="BG97" s="65"/>
    </row>
    <row r="98" spans="2:59" ht="7.5" customHeight="1" thickBot="1">
      <c r="B98" s="305"/>
      <c r="C98" s="309"/>
      <c r="D98" s="310"/>
      <c r="E98" s="310"/>
      <c r="F98" s="310"/>
      <c r="G98" s="310"/>
      <c r="H98" s="311"/>
      <c r="I98" s="312"/>
      <c r="J98" s="313"/>
      <c r="K98" s="314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15"/>
      <c r="BA98" s="316"/>
      <c r="BB98" s="316"/>
      <c r="BC98" s="316"/>
      <c r="BD98" s="316"/>
      <c r="BE98" s="316"/>
      <c r="BF98" s="316"/>
      <c r="BG98" s="317"/>
    </row>
    <row r="99" spans="2:59" ht="7.5" customHeight="1">
      <c r="B99" s="28" t="s">
        <v>62</v>
      </c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30"/>
    </row>
    <row r="100" spans="2:59" ht="7.5" customHeight="1"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3"/>
    </row>
    <row r="101" spans="2:59" ht="10.15" customHeight="1"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6"/>
    </row>
    <row r="102" spans="2:59" ht="17.45" customHeight="1">
      <c r="B102" s="12"/>
      <c r="C102" s="34" t="s">
        <v>63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6"/>
      <c r="BG102" s="17"/>
    </row>
    <row r="103" spans="2:59" ht="10.15" customHeight="1"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7"/>
    </row>
    <row r="104" spans="2:59" ht="21" customHeight="1">
      <c r="B104" s="12"/>
      <c r="C104" s="13"/>
      <c r="D104" s="37" t="s">
        <v>64</v>
      </c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18"/>
      <c r="R104" s="38" t="s">
        <v>65</v>
      </c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13"/>
      <c r="BF104" s="13"/>
      <c r="BG104" s="17"/>
    </row>
    <row r="105" spans="2:59" ht="6" customHeight="1">
      <c r="B105" s="12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7"/>
    </row>
    <row r="106" spans="2:59" s="22" customFormat="1" ht="21.6" customHeight="1">
      <c r="B106" s="19"/>
      <c r="C106" s="20"/>
      <c r="D106" s="20"/>
      <c r="E106" s="23" t="s">
        <v>66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4" t="s">
        <v>67</v>
      </c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0"/>
      <c r="BE106" s="20"/>
      <c r="BF106" s="20"/>
      <c r="BG106" s="21"/>
    </row>
    <row r="107" spans="2:59" ht="26.25" customHeight="1">
      <c r="B107" s="12"/>
      <c r="C107" s="13"/>
      <c r="D107" s="13"/>
      <c r="E107" s="23" t="s">
        <v>68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39" t="s">
        <v>69</v>
      </c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13"/>
      <c r="BE107" s="13"/>
      <c r="BF107" s="13"/>
      <c r="BG107" s="17"/>
    </row>
    <row r="108" spans="2:59" s="22" customFormat="1" ht="26.25" customHeight="1">
      <c r="B108" s="19"/>
      <c r="C108" s="20"/>
      <c r="D108" s="20"/>
      <c r="E108" s="23" t="s">
        <v>70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4" t="s">
        <v>71</v>
      </c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0"/>
      <c r="BE108" s="20"/>
      <c r="BF108" s="20"/>
      <c r="BG108" s="21"/>
    </row>
    <row r="109" spans="2:59" ht="26.25" customHeight="1">
      <c r="B109" s="12"/>
      <c r="C109" s="13"/>
      <c r="D109" s="13"/>
      <c r="E109" s="23" t="s">
        <v>72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4" t="s">
        <v>73</v>
      </c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13"/>
      <c r="BE109" s="13"/>
      <c r="BF109" s="13"/>
      <c r="BG109" s="17"/>
    </row>
    <row r="110" spans="2:59" s="22" customFormat="1" ht="27.75" customHeight="1">
      <c r="B110" s="19"/>
      <c r="C110" s="20"/>
      <c r="D110" s="20"/>
      <c r="E110" s="23" t="s">
        <v>74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5" t="s">
        <v>75</v>
      </c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0"/>
      <c r="BE110" s="20"/>
      <c r="BF110" s="20"/>
      <c r="BG110" s="21"/>
    </row>
    <row r="111" spans="2:59" ht="17.45" customHeight="1" thickBot="1"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26" t="s">
        <v>76</v>
      </c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7"/>
    </row>
    <row r="112" spans="2:59" ht="7.5" customHeight="1">
      <c r="B112" s="127" t="s">
        <v>77</v>
      </c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9"/>
      <c r="AP112" s="133" t="s">
        <v>78</v>
      </c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34"/>
    </row>
    <row r="113" spans="2:59" ht="7.5" customHeight="1">
      <c r="B113" s="130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2"/>
      <c r="AP113" s="135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  <c r="BA113" s="131"/>
      <c r="BB113" s="131"/>
      <c r="BC113" s="131"/>
      <c r="BD113" s="131"/>
      <c r="BE113" s="131"/>
      <c r="BF113" s="131"/>
      <c r="BG113" s="136"/>
    </row>
    <row r="114" spans="2:59" ht="10.15" customHeight="1">
      <c r="B114" s="112" t="s">
        <v>79</v>
      </c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  <c r="AM114" s="113"/>
      <c r="AN114" s="113"/>
      <c r="AO114" s="114"/>
      <c r="AP114" s="121" t="s">
        <v>80</v>
      </c>
      <c r="AQ114" s="113"/>
      <c r="AR114" s="113"/>
      <c r="AS114" s="113"/>
      <c r="AT114" s="113"/>
      <c r="AU114" s="113"/>
      <c r="AV114" s="113"/>
      <c r="AW114" s="113"/>
      <c r="AX114" s="113"/>
      <c r="AY114" s="113"/>
      <c r="AZ114" s="113"/>
      <c r="BA114" s="113"/>
      <c r="BB114" s="113"/>
      <c r="BC114" s="113"/>
      <c r="BD114" s="113"/>
      <c r="BE114" s="113"/>
      <c r="BF114" s="113"/>
      <c r="BG114" s="122"/>
    </row>
    <row r="115" spans="2:59" ht="10.15" customHeight="1">
      <c r="B115" s="115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  <c r="AB115" s="116"/>
      <c r="AC115" s="116"/>
      <c r="AD115" s="116"/>
      <c r="AE115" s="116"/>
      <c r="AF115" s="116"/>
      <c r="AG115" s="116"/>
      <c r="AH115" s="116"/>
      <c r="AI115" s="116"/>
      <c r="AJ115" s="116"/>
      <c r="AK115" s="116"/>
      <c r="AL115" s="116"/>
      <c r="AM115" s="116"/>
      <c r="AN115" s="116"/>
      <c r="AO115" s="117"/>
      <c r="AP115" s="123"/>
      <c r="AQ115" s="116"/>
      <c r="AR115" s="116"/>
      <c r="AS115" s="116"/>
      <c r="AT115" s="116"/>
      <c r="AU115" s="116"/>
      <c r="AV115" s="116"/>
      <c r="AW115" s="116"/>
      <c r="AX115" s="116"/>
      <c r="AY115" s="116"/>
      <c r="AZ115" s="116"/>
      <c r="BA115" s="116"/>
      <c r="BB115" s="116"/>
      <c r="BC115" s="116"/>
      <c r="BD115" s="116"/>
      <c r="BE115" s="116"/>
      <c r="BF115" s="116"/>
      <c r="BG115" s="124"/>
    </row>
    <row r="116" spans="2:59" ht="10.15" customHeight="1">
      <c r="B116" s="115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7"/>
      <c r="AP116" s="123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24"/>
    </row>
    <row r="117" spans="2:59" ht="10.15" customHeight="1">
      <c r="B117" s="115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7"/>
      <c r="AP117" s="123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24"/>
    </row>
    <row r="118" spans="2:59" ht="10.15" customHeight="1">
      <c r="B118" s="115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7"/>
      <c r="AP118" s="123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24"/>
    </row>
    <row r="119" spans="2:59" ht="10.15" customHeight="1">
      <c r="B119" s="115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7"/>
      <c r="AP119" s="123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  <c r="BD119" s="116"/>
      <c r="BE119" s="116"/>
      <c r="BF119" s="116"/>
      <c r="BG119" s="124"/>
    </row>
    <row r="120" spans="2:59" ht="10.15" customHeight="1">
      <c r="B120" s="115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  <c r="AB120" s="116"/>
      <c r="AC120" s="116"/>
      <c r="AD120" s="116"/>
      <c r="AE120" s="11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7"/>
      <c r="AP120" s="123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24"/>
    </row>
    <row r="121" spans="2:59" ht="10.15" customHeight="1">
      <c r="B121" s="115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  <c r="AB121" s="116"/>
      <c r="AC121" s="116"/>
      <c r="AD121" s="116"/>
      <c r="AE121" s="11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7"/>
      <c r="AP121" s="123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24"/>
    </row>
    <row r="122" spans="2:59" ht="10.15" customHeight="1">
      <c r="B122" s="115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  <c r="AB122" s="116"/>
      <c r="AC122" s="116"/>
      <c r="AD122" s="116"/>
      <c r="AE122" s="116"/>
      <c r="AF122" s="116"/>
      <c r="AG122" s="116"/>
      <c r="AH122" s="116"/>
      <c r="AI122" s="116"/>
      <c r="AJ122" s="116"/>
      <c r="AK122" s="116"/>
      <c r="AL122" s="116"/>
      <c r="AM122" s="116"/>
      <c r="AN122" s="116"/>
      <c r="AO122" s="117"/>
      <c r="AP122" s="123"/>
      <c r="AQ122" s="116"/>
      <c r="AR122" s="116"/>
      <c r="AS122" s="116"/>
      <c r="AT122" s="116"/>
      <c r="AU122" s="116"/>
      <c r="AV122" s="116"/>
      <c r="AW122" s="116"/>
      <c r="AX122" s="116"/>
      <c r="AY122" s="116"/>
      <c r="AZ122" s="116"/>
      <c r="BA122" s="116"/>
      <c r="BB122" s="116"/>
      <c r="BC122" s="116"/>
      <c r="BD122" s="116"/>
      <c r="BE122" s="116"/>
      <c r="BF122" s="116"/>
      <c r="BG122" s="124"/>
    </row>
    <row r="123" spans="2:59" ht="8.1" customHeight="1" thickBot="1">
      <c r="B123" s="118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20"/>
      <c r="AP123" s="125"/>
      <c r="AQ123" s="119"/>
      <c r="AR123" s="119"/>
      <c r="AS123" s="119"/>
      <c r="AT123" s="119"/>
      <c r="AU123" s="119"/>
      <c r="AV123" s="119"/>
      <c r="AW123" s="119"/>
      <c r="AX123" s="119"/>
      <c r="AY123" s="119"/>
      <c r="AZ123" s="119"/>
      <c r="BA123" s="119"/>
      <c r="BB123" s="119"/>
      <c r="BC123" s="119"/>
      <c r="BD123" s="119"/>
      <c r="BE123" s="119"/>
      <c r="BF123" s="119"/>
      <c r="BG123" s="126"/>
    </row>
    <row r="124" spans="2:59" ht="7.5" customHeight="1"/>
    <row r="125" spans="2:59" ht="7.5" customHeight="1"/>
    <row r="126" spans="2:59" ht="7.5" customHeight="1"/>
    <row r="127" spans="2:59" ht="7.5" customHeight="1"/>
    <row r="128" spans="2:59" ht="7.5" customHeight="1"/>
    <row r="129" ht="7.5" customHeight="1"/>
    <row r="130" ht="7.5" customHeight="1"/>
    <row r="131" ht="7.5" customHeight="1"/>
    <row r="132" ht="7.5" customHeight="1"/>
    <row r="133" ht="7.5" customHeight="1"/>
    <row r="134" ht="7.5" customHeight="1"/>
    <row r="135" ht="7.5" customHeight="1"/>
  </sheetData>
  <sheetProtection formatCells="0" insertHyperlinks="0" selectLockedCells="1"/>
  <mergeCells count="217">
    <mergeCell ref="BE89:BE94"/>
    <mergeCell ref="BF89:BF94"/>
    <mergeCell ref="BG89:BG94"/>
    <mergeCell ref="B87:B98"/>
    <mergeCell ref="C87:H91"/>
    <mergeCell ref="I87:K93"/>
    <mergeCell ref="L87:AE98"/>
    <mergeCell ref="AF87:AO98"/>
    <mergeCell ref="AP87:AY98"/>
    <mergeCell ref="AZ87:AZ88"/>
    <mergeCell ref="BA87:BA88"/>
    <mergeCell ref="BB87:BB88"/>
    <mergeCell ref="C92:H93"/>
    <mergeCell ref="C94:H98"/>
    <mergeCell ref="I94:K98"/>
    <mergeCell ref="AZ95:BG96"/>
    <mergeCell ref="AZ97:BG98"/>
    <mergeCell ref="BC87:BC88"/>
    <mergeCell ref="BD87:BD88"/>
    <mergeCell ref="BE87:BE88"/>
    <mergeCell ref="BF87:BF88"/>
    <mergeCell ref="BG87:BG88"/>
    <mergeCell ref="AZ89:AZ94"/>
    <mergeCell ref="BA89:BA94"/>
    <mergeCell ref="BB89:BB94"/>
    <mergeCell ref="BC89:BC94"/>
    <mergeCell ref="BD89:BD94"/>
    <mergeCell ref="AZ73:BG74"/>
    <mergeCell ref="BF63:BF64"/>
    <mergeCell ref="BG63:BG64"/>
    <mergeCell ref="AZ65:AZ70"/>
    <mergeCell ref="BA65:BA70"/>
    <mergeCell ref="BB65:BB70"/>
    <mergeCell ref="BC65:BC70"/>
    <mergeCell ref="BD65:BD70"/>
    <mergeCell ref="BE65:BE70"/>
    <mergeCell ref="BF65:BF70"/>
    <mergeCell ref="BG65:BG70"/>
    <mergeCell ref="AZ63:AZ64"/>
    <mergeCell ref="BA63:BA64"/>
    <mergeCell ref="BB63:BB64"/>
    <mergeCell ref="BC63:BC64"/>
    <mergeCell ref="BD63:BD64"/>
    <mergeCell ref="BE63:BE64"/>
    <mergeCell ref="AZ71:BG72"/>
    <mergeCell ref="BA75:BA76"/>
    <mergeCell ref="BB75:BB76"/>
    <mergeCell ref="BC75:BC76"/>
    <mergeCell ref="C63:H67"/>
    <mergeCell ref="I63:K69"/>
    <mergeCell ref="L63:AE74"/>
    <mergeCell ref="AF63:AO74"/>
    <mergeCell ref="AP63:AY74"/>
    <mergeCell ref="C68:H69"/>
    <mergeCell ref="C70:H74"/>
    <mergeCell ref="I70:K74"/>
    <mergeCell ref="B39:B74"/>
    <mergeCell ref="C51:H55"/>
    <mergeCell ref="I51:K57"/>
    <mergeCell ref="L51:AE62"/>
    <mergeCell ref="AF51:AO62"/>
    <mergeCell ref="AP51:AY62"/>
    <mergeCell ref="C56:H57"/>
    <mergeCell ref="C58:H62"/>
    <mergeCell ref="I58:K62"/>
    <mergeCell ref="BD75:BD76"/>
    <mergeCell ref="BE75:BE76"/>
    <mergeCell ref="AZ83:BG84"/>
    <mergeCell ref="AZ85:BG86"/>
    <mergeCell ref="BF75:BF76"/>
    <mergeCell ref="BG75:BG76"/>
    <mergeCell ref="AZ77:AZ82"/>
    <mergeCell ref="BA77:BA82"/>
    <mergeCell ref="BB77:BB82"/>
    <mergeCell ref="BC77:BC82"/>
    <mergeCell ref="BD77:BD82"/>
    <mergeCell ref="BE77:BE82"/>
    <mergeCell ref="B21:B26"/>
    <mergeCell ref="AM2:AO5"/>
    <mergeCell ref="L2:AL5"/>
    <mergeCell ref="AK6:BG7"/>
    <mergeCell ref="BA27:BA28"/>
    <mergeCell ref="BB27:BB28"/>
    <mergeCell ref="V15:AG17"/>
    <mergeCell ref="S15:U17"/>
    <mergeCell ref="F8:Z10"/>
    <mergeCell ref="AP2:BG5"/>
    <mergeCell ref="AK8:BG17"/>
    <mergeCell ref="AK18:AO20"/>
    <mergeCell ref="BC27:BC28"/>
    <mergeCell ref="AZ23:BG24"/>
    <mergeCell ref="BG27:BG28"/>
    <mergeCell ref="AF27:AO38"/>
    <mergeCell ref="AP27:AY38"/>
    <mergeCell ref="AP21:AY26"/>
    <mergeCell ref="BF29:BF34"/>
    <mergeCell ref="AZ35:BG36"/>
    <mergeCell ref="AF8:AJ10"/>
    <mergeCell ref="B18:E20"/>
    <mergeCell ref="B3:C4"/>
    <mergeCell ref="B11:E14"/>
    <mergeCell ref="B15:E17"/>
    <mergeCell ref="D2:I4"/>
    <mergeCell ref="B6:E10"/>
    <mergeCell ref="F11:AJ14"/>
    <mergeCell ref="AE18:AJ20"/>
    <mergeCell ref="AH15:AJ17"/>
    <mergeCell ref="F6:Z7"/>
    <mergeCell ref="F18:AD20"/>
    <mergeCell ref="AF6:AJ7"/>
    <mergeCell ref="AA6:AE7"/>
    <mergeCell ref="AA8:AE10"/>
    <mergeCell ref="F15:R17"/>
    <mergeCell ref="AZ25:BG26"/>
    <mergeCell ref="BD27:BD28"/>
    <mergeCell ref="BF27:BF28"/>
    <mergeCell ref="BE29:BE34"/>
    <mergeCell ref="BG29:BG34"/>
    <mergeCell ref="BB29:BB34"/>
    <mergeCell ref="I21:K26"/>
    <mergeCell ref="C27:H31"/>
    <mergeCell ref="AZ21:BG22"/>
    <mergeCell ref="L21:AE26"/>
    <mergeCell ref="AF21:AO26"/>
    <mergeCell ref="AZ27:AZ28"/>
    <mergeCell ref="AZ29:AZ34"/>
    <mergeCell ref="L27:AE38"/>
    <mergeCell ref="C21:H26"/>
    <mergeCell ref="I27:K33"/>
    <mergeCell ref="I34:K38"/>
    <mergeCell ref="B114:AO123"/>
    <mergeCell ref="AP114:BG123"/>
    <mergeCell ref="B112:AO113"/>
    <mergeCell ref="AP112:BG113"/>
    <mergeCell ref="BC29:BC34"/>
    <mergeCell ref="AZ37:BG38"/>
    <mergeCell ref="B27:B38"/>
    <mergeCell ref="C34:H38"/>
    <mergeCell ref="C32:H33"/>
    <mergeCell ref="BA29:BA34"/>
    <mergeCell ref="BD29:BD34"/>
    <mergeCell ref="BE27:BE28"/>
    <mergeCell ref="B75:B86"/>
    <mergeCell ref="C75:H79"/>
    <mergeCell ref="I75:K81"/>
    <mergeCell ref="L75:AE86"/>
    <mergeCell ref="AF75:AO86"/>
    <mergeCell ref="AP75:AY86"/>
    <mergeCell ref="C80:H81"/>
    <mergeCell ref="C82:H86"/>
    <mergeCell ref="I82:K86"/>
    <mergeCell ref="BF77:BF82"/>
    <mergeCell ref="BG77:BG82"/>
    <mergeCell ref="AZ75:AZ76"/>
    <mergeCell ref="BB39:BB40"/>
    <mergeCell ref="BC39:BC40"/>
    <mergeCell ref="BD39:BD40"/>
    <mergeCell ref="BE39:BE40"/>
    <mergeCell ref="AZ39:AZ40"/>
    <mergeCell ref="BA39:BA40"/>
    <mergeCell ref="BF39:BF40"/>
    <mergeCell ref="BG39:BG40"/>
    <mergeCell ref="C39:H43"/>
    <mergeCell ref="I39:K45"/>
    <mergeCell ref="L39:AE50"/>
    <mergeCell ref="AF39:AO50"/>
    <mergeCell ref="AP39:AY50"/>
    <mergeCell ref="C44:H45"/>
    <mergeCell ref="C46:H50"/>
    <mergeCell ref="I46:K50"/>
    <mergeCell ref="AZ47:BG48"/>
    <mergeCell ref="AZ49:BG50"/>
    <mergeCell ref="AZ41:AZ46"/>
    <mergeCell ref="BA41:BA46"/>
    <mergeCell ref="BB41:BB46"/>
    <mergeCell ref="BC41:BC46"/>
    <mergeCell ref="BD41:BD46"/>
    <mergeCell ref="BE41:BE46"/>
    <mergeCell ref="BH8:BH12"/>
    <mergeCell ref="BB18:BD20"/>
    <mergeCell ref="BE18:BG20"/>
    <mergeCell ref="AP18:BA20"/>
    <mergeCell ref="AZ59:BG60"/>
    <mergeCell ref="AZ61:BG62"/>
    <mergeCell ref="BF51:BF52"/>
    <mergeCell ref="BG51:BG52"/>
    <mergeCell ref="AZ53:AZ58"/>
    <mergeCell ref="BA53:BA58"/>
    <mergeCell ref="BB53:BB58"/>
    <mergeCell ref="BC53:BC58"/>
    <mergeCell ref="BD53:BD58"/>
    <mergeCell ref="BE53:BE58"/>
    <mergeCell ref="BF53:BF58"/>
    <mergeCell ref="BG53:BG58"/>
    <mergeCell ref="AZ51:AZ52"/>
    <mergeCell ref="BA51:BA52"/>
    <mergeCell ref="BB51:BB52"/>
    <mergeCell ref="BC51:BC52"/>
    <mergeCell ref="BD51:BD52"/>
    <mergeCell ref="BE51:BE52"/>
    <mergeCell ref="BF41:BF46"/>
    <mergeCell ref="BG41:BG46"/>
    <mergeCell ref="E109:W109"/>
    <mergeCell ref="X109:BC109"/>
    <mergeCell ref="E110:W110"/>
    <mergeCell ref="X110:BC110"/>
    <mergeCell ref="AU111:BG111"/>
    <mergeCell ref="B99:BG100"/>
    <mergeCell ref="C102:BF102"/>
    <mergeCell ref="D104:P104"/>
    <mergeCell ref="R104:BD104"/>
    <mergeCell ref="E106:W106"/>
    <mergeCell ref="X106:BC106"/>
    <mergeCell ref="E107:W107"/>
    <mergeCell ref="X107:BC107"/>
    <mergeCell ref="E108:W108"/>
    <mergeCell ref="X108:BC108"/>
  </mergeCells>
  <phoneticPr fontId="1"/>
  <conditionalFormatting sqref="AZ29:BG34">
    <cfRule type="expression" dxfId="5" priority="4" stopIfTrue="1">
      <formula>AZ27="●"</formula>
    </cfRule>
  </conditionalFormatting>
  <conditionalFormatting sqref="AZ41:BG46">
    <cfRule type="expression" dxfId="4" priority="5" stopIfTrue="1">
      <formula>AZ39="●"</formula>
    </cfRule>
  </conditionalFormatting>
  <conditionalFormatting sqref="AZ53:BG58">
    <cfRule type="expression" dxfId="3" priority="7" stopIfTrue="1">
      <formula>AZ51="●"</formula>
    </cfRule>
  </conditionalFormatting>
  <conditionalFormatting sqref="AZ65:BG70">
    <cfRule type="expression" dxfId="2" priority="3" stopIfTrue="1">
      <formula>AZ63="●"</formula>
    </cfRule>
  </conditionalFormatting>
  <conditionalFormatting sqref="AZ77:BG82">
    <cfRule type="expression" dxfId="1" priority="2" stopIfTrue="1">
      <formula>AZ75="●"</formula>
    </cfRule>
  </conditionalFormatting>
  <conditionalFormatting sqref="AZ89:BG94">
    <cfRule type="expression" dxfId="0" priority="1" stopIfTrue="1">
      <formula>AZ87="●"</formula>
    </cfRule>
  </conditionalFormatting>
  <dataValidations count="6">
    <dataValidation type="list" allowBlank="1" showInputMessage="1" showErrorMessage="1" sqref="AA8" xr:uid="{00000000-0002-0000-0000-000000000000}">
      <formula1>"男性,女性"</formula1>
    </dataValidation>
    <dataValidation imeMode="halfKatakana" allowBlank="1" showInputMessage="1" showErrorMessage="1" sqref="F6" xr:uid="{00000000-0002-0000-0000-000001000000}"/>
    <dataValidation type="list" allowBlank="1" showInputMessage="1" showErrorMessage="1" sqref="AE18:AJ20" xr:uid="{00000000-0002-0000-0000-000002000000}">
      <formula1>"卒業,中退,卒業見込"</formula1>
    </dataValidation>
    <dataValidation type="list" allowBlank="1" showInputMessage="1" showErrorMessage="1" sqref="AZ27:BG27 AZ63:BG63 AZ39:BG39 AZ51:BG51 AZ75:BG75 AZ87:BG87" xr:uid="{00000000-0002-0000-0000-000003000000}">
      <formula1>"●"</formula1>
    </dataValidation>
    <dataValidation type="list" allowBlank="1" showInputMessage="1" sqref="AZ35:BG36 AZ47:BG48 AZ59:BG60 AZ71:BG72 AZ83:BG84 AZ95:BG96" xr:uid="{00000000-0002-0000-0000-000004000000}">
      <formula1>"メンバー,PG,SE,TL,PL, PM,PMO"</formula1>
    </dataValidation>
    <dataValidation imeMode="halfAlpha" allowBlank="1" showInputMessage="1" showErrorMessage="1" sqref="C27:H98" xr:uid="{00000000-0002-0000-0000-000005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8" fitToHeight="0" orientation="portrait" horizontalDpi="300" verticalDpi="300" r:id="rId1"/>
  <headerFooter alignWithMargins="0">
    <oddHeader>&amp;R&amp;12&amp;P/&amp;N</oddHeader>
  </headerFooter>
  <rowBreaks count="1" manualBreakCount="1">
    <brk id="86" max="59" man="1"/>
  </rowBreaks>
  <ignoredErrors>
    <ignoredError sqref="AF8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C9FA255A8915C49B051FD65DE78C0B7" ma:contentTypeVersion="18" ma:contentTypeDescription="新しいドキュメントを作成します。" ma:contentTypeScope="" ma:versionID="a57c87115c6bc32fcac44fbde3e11208">
  <xsd:schema xmlns:xsd="http://www.w3.org/2001/XMLSchema" xmlns:xs="http://www.w3.org/2001/XMLSchema" xmlns:p="http://schemas.microsoft.com/office/2006/metadata/properties" xmlns:ns2="7bbdf19b-4830-4403-98de-5f249cde0520" xmlns:ns3="2baad4fd-6d00-4342-817c-cc4a6afc5feb" targetNamespace="http://schemas.microsoft.com/office/2006/metadata/properties" ma:root="true" ma:fieldsID="165c3515acd793440420b953f0a56680" ns2:_="" ns3:_="">
    <xsd:import namespace="7bbdf19b-4830-4403-98de-5f249cde0520"/>
    <xsd:import namespace="2baad4fd-6d00-4342-817c-cc4a6afc5f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_x65e5__x4ed8__x6642__x523b_" minOccurs="0"/>
                <xsd:element ref="ns2:MediaServiceBillingMetadata" minOccurs="0"/>
                <xsd:element ref="ns2:_x5bfe__x8c61__x30e6__x30fc__x30b6__x30fc_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bdf19b-4830-4403-98de-5f249cde05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64e27434-981f-4e7e-bd7c-cf2a6c79cf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65e5__x4ed8__x6642__x523b_" ma:index="21" nillable="true" ma:displayName="日付&amp;時刻" ma:format="DateOnly" ma:internalName="_x65e5__x4ed8__x6642__x523b_">
      <xsd:simpleType>
        <xsd:restriction base="dms:DateTim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5bfe__x8c61__x30e6__x30fc__x30b6__x30fc_" ma:index="23" nillable="true" ma:displayName="対象ユーザー" ma:internalName="_x5bfe__x8c61__x30e6__x30fc__x30b6__x30fc_">
      <xsd:simpleType>
        <xsd:restriction base="dms:Unknown"/>
      </xsd:simpleType>
    </xsd:element>
    <xsd:element name="_ModernAudienceTargetUserField" ma:index="24" nillable="true" ma:displayName="対象ユーザー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5" nillable="true" ma:displayName="対象ユーザーの ID" ma:list="{e3a15f35-5515-4f52-8c42-416f7d3a53bf}" ma:internalName="_ModernAudienceAadObjectIds" ma:readOnly="true" ma:showField="_AadObjectIdForUser" ma:web="2baad4fd-6d00-4342-817c-cc4a6afc5f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ad4fd-6d00-4342-817c-cc4a6afc5fe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bdf19b-4830-4403-98de-5f249cde0520">
      <Terms xmlns="http://schemas.microsoft.com/office/infopath/2007/PartnerControls"/>
    </lcf76f155ced4ddcb4097134ff3c332f>
    <_x5bfe__x8c61__x30e6__x30fc__x30b6__x30fc_ xmlns="7bbdf19b-4830-4403-98de-5f249cde0520" xsi:nil="true"/>
    <_ModernAudienceTargetUserField xmlns="7bbdf19b-4830-4403-98de-5f249cde0520">
      <UserInfo>
        <DisplayName/>
        <AccountId xsi:nil="true"/>
        <AccountType/>
      </UserInfo>
    </_ModernAudienceTargetUserField>
    <_x65e5__x4ed8__x6642__x523b_ xmlns="7bbdf19b-4830-4403-98de-5f249cde0520" xsi:nil="true"/>
  </documentManagement>
</p:properties>
</file>

<file path=customXml/itemProps1.xml><?xml version="1.0" encoding="utf-8"?>
<ds:datastoreItem xmlns:ds="http://schemas.openxmlformats.org/officeDocument/2006/customXml" ds:itemID="{6E9666ED-F7D5-4DF6-9846-2F957D6CDFB5}"/>
</file>

<file path=customXml/itemProps2.xml><?xml version="1.0" encoding="utf-8"?>
<ds:datastoreItem xmlns:ds="http://schemas.openxmlformats.org/officeDocument/2006/customXml" ds:itemID="{B482F42C-F230-4295-BC34-C34CF97F4572}"/>
</file>

<file path=customXml/itemProps3.xml><?xml version="1.0" encoding="utf-8"?>
<ds:datastoreItem xmlns:ds="http://schemas.openxmlformats.org/officeDocument/2006/customXml" ds:itemID="{BEE5DBDA-BD2D-4A52-9582-CF18CD877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3030080</dc:creator>
  <cp:keywords/>
  <dc:description/>
  <cp:lastModifiedBy/>
  <cp:revision/>
  <dcterms:created xsi:type="dcterms:W3CDTF">2012-01-19T00:43:24Z</dcterms:created>
  <dcterms:modified xsi:type="dcterms:W3CDTF">2026-07-23T00:43:13Z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0x010100EC9FA255A8915C49B051FD65DE78C0B7</vt:lpwstr>
  </property>
  <property fmtid="{D5CDD505-2E9C-101B-9397-08002B2CF9AE}" pid="3" name="MediaServiceImageTags">
    <vt:lpwstr/>
  </property>
</Properties>
</file>